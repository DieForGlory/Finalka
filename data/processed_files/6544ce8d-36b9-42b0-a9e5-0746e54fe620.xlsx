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ЭтаКнига"/>
  <bookViews>
    <workbookView visibility="visible" minimized="0" showHorizontalScroll="1" showVerticalScroll="1" showSheetTabs="1" xWindow="-120" yWindow="-120" windowWidth="29040" windowHeight="15840" tabRatio="600" firstSheet="0" activeTab="1" autoFilterDateGrouping="1"/>
  </bookViews>
  <sheets>
    <sheet name="СВОД" sheetId="1" state="visible" r:id="rId1"/>
    <sheet name="МП" sheetId="2" state="visible" r:id="rId2"/>
  </sheets>
  <definedNames>
    <definedName name="ДАТАВКЛ">_xlfn.LAMBDA(_xlfn.LET(_xlpm.COEFF,  IF(МП!$AW1+МП!$AX1=0,0,IF(MAX(MIN(МП!$AX1,EOMONTH(МП!A$15,0))-MAX(МП!$AW1,МП!A$15)+1,)&gt;0,1,0)),  _xlfn.IFS(  МП!$ES1="LisChannel",  _xlpm.COEFF* INDEX({1;1;1.2;1.2;1;1;1;1;1.2;1.2;1.2;1.2}, MATCH(MONTH(МП!A$15), {1,2,3,4,5,6,7,8,9,10,11,12})),  CONCATENATE(МП!$ES1," ",МП!$L1)="RussOutdoor метро",  _xlpm.COEFF* INDEX({0.8;0.9;1.1;1.1;1;1;1;1;1.1;1.1;1.1;1.1}, MATCH(MONTH(МП!A$15), {1,2,3,4,5,6,7,8,9,10,11,12})),  МП!$ES1&lt;&gt;"LisChannel", _xlpm.COEFF,  МП!$ES1&lt;&gt;"RussOutdoor", _xlpm.COEFF)))</definedName>
    <definedName name="ПРАЙСБ">_xlfn.LAMBDA(IFERROR(  IF(МП!$ES1="LisChannel", (ROUND(((INDEX({174.625;153.888888888889;130.972222222222},MATCH(МП!$AI1,{2;3;4}),0))*МП!$AG1*МП!$AI1),2)),0),0))</definedName>
    <definedName name="ПРАЙСВ"> _xlfn.LAMBDA( _xlfn.LET(_xlpm.X,  IFERROR(  IF(МП!$ES1="НовиковТВ",  (_xlfn.LET(_xlpm.NTV, _xlfn.LET(_xlpm.MIN,350000,  IF(SUMIFS(МП!$DI:$DI,МП!$ES:$ES,"НовиковТВ")&lt;=_xlpm.MIN, (SUMIFS(МП!$DI:$DI,МП!$ES:$ES,"НовиковТВ")/(COUNTIFS(МП!$ES:$ES,"НовиковТВ")))*_xlpm.MIN/SUMIFS(МП!$DI:$DI,МП!$ES:$ES,"НовиковТВ"), МП!XFD1)),  _xlpm.NTV+МП!$DG1/(1-(1-(_xlpm.NTV)*(1-МП!$DL1)*(1-МП!$DM1)*(1-МП!$DN1)*(1-МП!$DO1)*(1-МП!$DP1)/_xlpm.NTV))))/(1+МП!$EP1),  МП!$DI1+МП!$DG1/(1-(1-(МП!$DI1)*(1-МП!$DL1)*(1-МП!$DM1)*(1-МП!$DN1)*(1-МП!$DO1)*(1-МП!$DP1)/МП!$DI1))),  0),  _xlpm.X*(1+МП!$CM1)*(1+МП!$CW1)-_xlpm.X*(1+МП!$CM1)+_xlpm.X))</definedName>
    <definedName name="_xlnm._FilterDatabase" localSheetId="1" hidden="1">'МП'!$A$15:$EV$22</definedName>
  </definedNames>
  <calcPr calcId="191029" fullCalcOnLoad="1"/>
</workbook>
</file>

<file path=xl/styles.xml><?xml version="1.0" encoding="utf-8"?>
<styleSheet xmlns="http://schemas.openxmlformats.org/spreadsheetml/2006/main">
  <numFmts count="6">
    <numFmt numFmtId="164" formatCode="_-* #,##0.00\ &quot;₽&quot;_-;\-* #,##0.00\ &quot;₽&quot;_-;_-* &quot;-&quot;??\ &quot;₽&quot;_-;_-@_-"/>
    <numFmt numFmtId="165" formatCode="_-* #,##0.00\ _₽_-;\-* #,##0.00\ _₽_-;_-* &quot;-&quot;??\ _₽_-;_-@_-"/>
    <numFmt numFmtId="166" formatCode="0.0"/>
    <numFmt numFmtId="167" formatCode="0.0%"/>
    <numFmt numFmtId="168" formatCode="0_ ;\-0\ "/>
    <numFmt numFmtId="169" formatCode="_-* #,##0.00\ [$₽-419]_-;\-* #,##0.00\ [$₽-419]_-;_-* &quot;-&quot;??\ [$₽-419]_-;_-@_-"/>
  </numFmts>
  <fonts count="46">
    <font>
      <name val="Calibri"/>
      <family val="2"/>
      <color theme="1"/>
      <sz val="11"/>
      <scheme val="minor"/>
    </font>
    <font>
      <name val="Calibri"/>
      <charset val="204"/>
      <family val="2"/>
      <color theme="1"/>
      <sz val="11"/>
      <scheme val="minor"/>
    </font>
    <font>
      <name val="Calibri"/>
      <family val="2"/>
      <color theme="1"/>
      <sz val="10"/>
      <scheme val="minor"/>
    </font>
    <font>
      <name val="Calibri"/>
      <family val="2"/>
      <sz val="8"/>
      <scheme val="minor"/>
    </font>
    <font>
      <name val="Calibri"/>
      <charset val="204"/>
      <family val="2"/>
      <b val="1"/>
      <color theme="1"/>
      <sz val="10"/>
      <scheme val="minor"/>
    </font>
    <font>
      <name val="Calibri"/>
      <charset val="204"/>
      <family val="2"/>
      <color theme="10"/>
      <sz val="11"/>
      <u val="single"/>
      <scheme val="minor"/>
    </font>
    <font>
      <name val="Arial Cyr"/>
      <sz val="8"/>
    </font>
    <font>
      <name val="Calibri"/>
      <family val="2"/>
      <b val="1"/>
      <sz val="10"/>
      <scheme val="minor"/>
    </font>
    <font>
      <name val="Calibri"/>
      <family val="2"/>
      <b val="1"/>
      <color theme="1"/>
      <sz val="10"/>
      <scheme val="minor"/>
    </font>
    <font>
      <name val="Calibri"/>
      <family val="2"/>
      <b val="1"/>
      <color theme="0"/>
      <sz val="10"/>
      <scheme val="minor"/>
    </font>
    <font>
      <name val="Calibri"/>
      <charset val="204"/>
      <family val="2"/>
      <b val="1"/>
      <sz val="12"/>
      <scheme val="minor"/>
    </font>
    <font>
      <name val="Calibri"/>
      <charset val="204"/>
      <family val="2"/>
      <sz val="10"/>
      <scheme val="minor"/>
    </font>
    <font>
      <name val="Calibri"/>
      <charset val="204"/>
      <family val="2"/>
      <b val="1"/>
      <color theme="0"/>
      <sz val="10"/>
      <scheme val="minor"/>
    </font>
    <font>
      <name val="Calibri"/>
      <charset val="204"/>
      <family val="2"/>
      <b val="1"/>
      <color theme="0"/>
      <sz val="11"/>
      <scheme val="minor"/>
    </font>
    <font>
      <name val="Calibri"/>
      <charset val="204"/>
      <family val="2"/>
      <b val="1"/>
      <color rgb="FFFFFF00"/>
      <sz val="10"/>
      <scheme val="minor"/>
    </font>
    <font>
      <name val="Calibri"/>
      <charset val="204"/>
      <family val="2"/>
      <i val="1"/>
      <color rgb="FFFF0000"/>
      <sz val="10"/>
      <scheme val="minor"/>
    </font>
    <font>
      <name val="Calibri"/>
      <charset val="204"/>
      <family val="2"/>
      <color indexed="8"/>
      <sz val="11"/>
    </font>
    <font>
      <name val="Calibri"/>
      <family val="2"/>
      <color theme="1"/>
      <sz val="11"/>
      <scheme val="minor"/>
    </font>
    <font>
      <name val="Calibri"/>
      <charset val="204"/>
      <family val="2"/>
      <color theme="1"/>
      <sz val="10"/>
      <scheme val="minor"/>
    </font>
    <font>
      <name val="Calibri"/>
      <charset val="204"/>
      <family val="2"/>
      <color theme="10"/>
      <sz val="8"/>
      <u val="single"/>
      <scheme val="minor"/>
    </font>
    <font>
      <name val="Calibri"/>
      <family val="2"/>
      <sz val="10"/>
      <scheme val="minor"/>
    </font>
    <font>
      <name val="Arial Cyr"/>
      <charset val="204"/>
      <color indexed="12"/>
      <sz val="10"/>
      <u val="single"/>
    </font>
    <font>
      <name val="Calibri"/>
      <charset val="204"/>
      <family val="2"/>
      <b val="1"/>
      <color rgb="FFFF0000"/>
      <sz val="10"/>
      <scheme val="minor"/>
    </font>
    <font>
      <name val="Arial Cyr"/>
      <charset val="204"/>
      <sz val="10"/>
    </font>
    <font>
      <name val="Calibri"/>
      <family val="2"/>
      <color theme="10"/>
      <sz val="12"/>
      <u val="single"/>
      <scheme val="minor"/>
    </font>
    <font>
      <name val="Calibri"/>
      <charset val="204"/>
      <family val="2"/>
      <color theme="10"/>
      <sz val="12"/>
      <u val="single"/>
      <scheme val="minor"/>
    </font>
    <font>
      <name val="Calibri"/>
      <family val="2"/>
      <color theme="1"/>
      <sz val="9"/>
      <scheme val="minor"/>
    </font>
    <font>
      <name val="Calibri"/>
      <charset val="204"/>
      <family val="2"/>
      <b val="1"/>
      <color theme="1"/>
      <sz val="11"/>
      <scheme val="minor"/>
    </font>
    <font>
      <name val="Calibri"/>
      <family val="2"/>
      <b val="1"/>
      <i val="1"/>
      <color rgb="FFFF0000"/>
      <sz val="10"/>
      <u val="single"/>
      <scheme val="minor"/>
    </font>
    <font>
      <name val="Calibri"/>
      <family val="2"/>
      <i val="1"/>
      <color rgb="FFFF0000"/>
      <sz val="10"/>
      <scheme val="minor"/>
    </font>
    <font>
      <name val="Calibri"/>
      <family val="2"/>
      <color theme="10"/>
      <sz val="11"/>
      <u val="single"/>
      <scheme val="minor"/>
    </font>
    <font>
      <name val="Calibri"/>
      <family val="2"/>
      <color rgb="FF000000"/>
      <sz val="11"/>
    </font>
    <font>
      <name val="Arial Cyr"/>
      <color indexed="4"/>
      <sz val="10"/>
      <u val="single"/>
    </font>
    <font>
      <name val="Arial"/>
      <charset val="204"/>
      <family val="2"/>
      <color theme="1"/>
      <sz val="11"/>
    </font>
    <font>
      <name val="Arial Cyr"/>
      <charset val="204"/>
      <color theme="10"/>
      <sz val="10"/>
      <u val="single"/>
    </font>
    <font>
      <name val="Calibri"/>
      <charset val="204"/>
      <family val="2"/>
      <b val="1"/>
      <color rgb="FFFFFF00"/>
      <sz val="11"/>
      <scheme val="minor"/>
    </font>
    <font>
      <name val="Arial"/>
      <charset val="204"/>
      <family val="2"/>
      <color rgb="FF000000"/>
      <sz val="10"/>
    </font>
    <font>
      <name val="Calibri"/>
      <family val="2"/>
      <b val="1"/>
      <color theme="0"/>
      <sz val="11"/>
      <scheme val="minor"/>
    </font>
    <font>
      <name val="Calibri"/>
      <charset val="204"/>
      <family val="2"/>
      <b val="1"/>
      <color theme="0"/>
      <sz val="12"/>
      <scheme val="minor"/>
    </font>
    <font>
      <name val="Calibri"/>
      <charset val="204"/>
      <family val="2"/>
      <b val="1"/>
      <color rgb="FFFFFF00"/>
      <sz val="14"/>
      <scheme val="minor"/>
    </font>
    <font>
      <name val="Calibri"/>
      <charset val="204"/>
      <family val="2"/>
      <b val="1"/>
      <color theme="0"/>
      <sz val="14"/>
      <scheme val="minor"/>
    </font>
    <font>
      <name val="Calibri"/>
      <charset val="204"/>
      <family val="2"/>
      <b val="1"/>
      <color rgb="FFFF0000"/>
      <sz val="20"/>
      <scheme val="minor"/>
    </font>
    <font>
      <name val="Calibri"/>
      <family val="2"/>
      <b val="1"/>
      <sz val="11"/>
      <scheme val="minor"/>
    </font>
    <font>
      <name val="Calibri"/>
      <charset val="204"/>
      <family val="2"/>
      <b val="1"/>
      <color theme="0" tint="-0.249977111117893"/>
      <sz val="20"/>
      <scheme val="minor"/>
    </font>
    <font>
      <name val="Calibri"/>
      <family val="2"/>
      <color theme="0"/>
      <sz val="10"/>
      <scheme val="minor"/>
    </font>
    <font>
      <name val="Calibri"/>
      <charset val="204"/>
      <family val="2"/>
      <b val="1"/>
      <color theme="0"/>
      <sz val="20"/>
      <scheme val="minor"/>
    </font>
  </fonts>
  <fills count="16">
    <fill>
      <patternFill/>
    </fill>
    <fill>
      <patternFill patternType="gray125"/>
    </fill>
    <fill>
      <patternFill patternType="solid">
        <fgColor rgb="FFFFC000"/>
        <bgColor indexed="64"/>
      </patternFill>
    </fill>
    <fill>
      <patternFill patternType="solid">
        <fgColor theme="0"/>
        <bgColor indexed="64"/>
      </patternFill>
    </fill>
    <fill>
      <patternFill patternType="solid">
        <fgColor theme="1" tint="0.0499893185216834"/>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theme="4" tint="-0.499984740745262"/>
        <bgColor indexed="64"/>
      </patternFill>
    </fill>
    <fill>
      <patternFill patternType="solid">
        <fgColor rgb="FF002060"/>
        <bgColor indexed="64"/>
      </patternFill>
    </fill>
    <fill>
      <patternFill patternType="solid">
        <fgColor theme="0" tint="-0.1499984740745262"/>
        <bgColor indexed="64"/>
      </patternFill>
    </fill>
    <fill>
      <patternFill patternType="solid">
        <fgColor rgb="FFFFFF00"/>
        <bgColor indexed="64"/>
      </patternFill>
    </fill>
    <fill>
      <patternFill patternType="solid">
        <fgColor theme="5" tint="0.5999938962981048"/>
        <bgColor indexed="64"/>
      </patternFill>
    </fill>
    <fill>
      <patternFill patternType="solid">
        <fgColor theme="7" tint="0.5999938962981048"/>
        <bgColor indexed="64"/>
      </patternFill>
    </fill>
    <fill>
      <patternFill patternType="solid">
        <fgColor theme="9" tint="0.5999938962981048"/>
        <bgColor indexed="64"/>
      </patternFill>
    </fill>
    <fill>
      <patternFill patternType="solid">
        <fgColor theme="8" tint="0.5999938962981048"/>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s>
  <cellStyleXfs count="25">
    <xf numFmtId="0" fontId="17" fillId="0" borderId="0"/>
    <xf numFmtId="0" fontId="5" fillId="0" borderId="0"/>
    <xf numFmtId="0" fontId="6" fillId="0" borderId="0"/>
    <xf numFmtId="0" fontId="5" fillId="0" borderId="0"/>
    <xf numFmtId="0" fontId="16" fillId="0" borderId="0"/>
    <xf numFmtId="0" fontId="1" fillId="0" borderId="0"/>
    <xf numFmtId="44" fontId="17" fillId="0" borderId="0"/>
    <xf numFmtId="169" fontId="18" fillId="0" borderId="0"/>
    <xf numFmtId="169" fontId="19" fillId="0" borderId="0"/>
    <xf numFmtId="0" fontId="17" fillId="0" borderId="0"/>
    <xf numFmtId="0" fontId="21" fillId="0" borderId="0" applyAlignment="1" applyProtection="1">
      <alignment vertical="top"/>
      <protection locked="0" hidden="0"/>
    </xf>
    <xf numFmtId="0" fontId="23" fillId="0" borderId="0"/>
    <xf numFmtId="0" fontId="24" fillId="0" borderId="0"/>
    <xf numFmtId="0" fontId="25" fillId="0" borderId="0"/>
    <xf numFmtId="0" fontId="17" fillId="0" borderId="0"/>
    <xf numFmtId="0" fontId="30" fillId="0" borderId="0"/>
    <xf numFmtId="0" fontId="31" fillId="0" borderId="0"/>
    <xf numFmtId="0" fontId="5" fillId="0" borderId="0"/>
    <xf numFmtId="0" fontId="30" fillId="0" borderId="0"/>
    <xf numFmtId="0" fontId="32" fillId="0" borderId="0" applyAlignment="1">
      <alignment vertical="top"/>
    </xf>
    <xf numFmtId="0" fontId="33" fillId="0" borderId="0"/>
    <xf numFmtId="0" fontId="34" fillId="0" borderId="0"/>
    <xf numFmtId="0" fontId="36" fillId="0" borderId="0" applyAlignment="1">
      <alignment horizontal="center" vertical="center"/>
    </xf>
    <xf numFmtId="0" fontId="11" fillId="0" borderId="0"/>
    <xf numFmtId="0" fontId="30" fillId="0" borderId="0"/>
  </cellStyleXfs>
  <cellXfs count="127">
    <xf numFmtId="0" fontId="0" fillId="0" borderId="0" pivotButton="0" quotePrefix="0" xfId="0"/>
    <xf numFmtId="0" fontId="7" fillId="2" borderId="1" applyAlignment="1" pivotButton="0" quotePrefix="0" xfId="0">
      <alignment horizontal="center" vertical="center" wrapText="1"/>
    </xf>
    <xf numFmtId="0" fontId="9" fillId="4" borderId="1" applyAlignment="1" pivotButton="0" quotePrefix="0" xfId="0">
      <alignment horizontal="center" vertical="center" wrapText="1"/>
    </xf>
    <xf numFmtId="1" fontId="9" fillId="4" borderId="1" applyAlignment="1" pivotButton="0" quotePrefix="0" xfId="0">
      <alignment horizontal="center" vertical="center" wrapText="1"/>
    </xf>
    <xf numFmtId="17" fontId="7" fillId="2" borderId="1" applyAlignment="1" pivotButton="0" quotePrefix="0" xfId="0">
      <alignment horizontal="center" vertical="top" textRotation="90" wrapText="1"/>
    </xf>
    <xf numFmtId="1" fontId="7" fillId="2" borderId="1" applyAlignment="1" pivotButton="0" quotePrefix="0" xfId="0">
      <alignment horizontal="center" vertical="top" textRotation="90" wrapText="1"/>
    </xf>
    <xf numFmtId="0" fontId="27" fillId="3" borderId="1" applyAlignment="1" pivotButton="0" quotePrefix="0" xfId="0">
      <alignment horizontal="center" vertical="center"/>
    </xf>
    <xf numFmtId="0" fontId="9" fillId="4" borderId="1" applyAlignment="1" pivotButton="0" quotePrefix="0" xfId="0">
      <alignment horizontal="right" vertical="center"/>
    </xf>
    <xf numFmtId="0" fontId="2" fillId="3" borderId="1" applyAlignment="1" pivotButton="0" quotePrefix="0" xfId="0">
      <alignment horizontal="left" vertical="center"/>
    </xf>
    <xf numFmtId="0" fontId="7" fillId="2" borderId="1" applyAlignment="1" pivotButton="0" quotePrefix="0" xfId="0">
      <alignment horizontal="center" vertical="center"/>
    </xf>
    <xf numFmtId="3" fontId="9" fillId="4" borderId="1" applyAlignment="1" pivotButton="0" quotePrefix="0" xfId="0">
      <alignment horizontal="center" vertical="center" wrapText="1"/>
    </xf>
    <xf numFmtId="2" fontId="9" fillId="4" borderId="1" applyAlignment="1" pivotButton="0" quotePrefix="0" xfId="0">
      <alignment horizontal="center" vertical="center" wrapText="1"/>
    </xf>
    <xf numFmtId="0" fontId="13" fillId="4" borderId="1" applyAlignment="1" pivotButton="0" quotePrefix="0" xfId="0">
      <alignment horizontal="center" vertical="center" wrapText="1"/>
    </xf>
    <xf numFmtId="0" fontId="12" fillId="4" borderId="1" applyAlignment="1" pivotButton="0" quotePrefix="0" xfId="0">
      <alignment horizontal="center" vertical="center" wrapText="1"/>
    </xf>
    <xf numFmtId="0" fontId="39" fillId="4" borderId="1" applyAlignment="1" pivotButton="0" quotePrefix="0" xfId="0">
      <alignment horizontal="center" vertical="center" wrapText="1"/>
    </xf>
    <xf numFmtId="0" fontId="37" fillId="4" borderId="1" applyAlignment="1" pivotButton="0" quotePrefix="0" xfId="0">
      <alignment horizontal="center" vertical="center" wrapText="1"/>
    </xf>
    <xf numFmtId="0" fontId="42"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2" fillId="5" borderId="1" applyAlignment="1" pivotButton="0" quotePrefix="0" xfId="0">
      <alignment horizontal="center" vertical="center"/>
    </xf>
    <xf numFmtId="0" fontId="13" fillId="8" borderId="1" applyAlignment="1" pivotButton="0" quotePrefix="0" xfId="0">
      <alignment horizontal="center" vertical="center" wrapText="1"/>
    </xf>
    <xf numFmtId="0" fontId="40"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2" fillId="0" borderId="0" applyAlignment="1" pivotButton="0" quotePrefix="0" xfId="0">
      <alignment horizontal="center" vertical="center"/>
    </xf>
    <xf numFmtId="0" fontId="15" fillId="0" borderId="0" applyAlignment="1" pivotButton="0" quotePrefix="0" xfId="0">
      <alignment horizontal="left" vertical="center"/>
    </xf>
    <xf numFmtId="0" fontId="4" fillId="0" borderId="0" applyAlignment="1" pivotButton="0" quotePrefix="0" xfId="0">
      <alignment vertical="center"/>
    </xf>
    <xf numFmtId="0" fontId="27" fillId="0" borderId="0" applyAlignment="1" pivotButton="0" quotePrefix="0" xfId="0">
      <alignment horizontal="right" vertical="center"/>
    </xf>
    <xf numFmtId="164" fontId="2" fillId="0" borderId="0" applyAlignment="1" pivotButton="0" quotePrefix="0" xfId="0">
      <alignment horizontal="right" vertical="center"/>
    </xf>
    <xf numFmtId="0" fontId="2" fillId="0" borderId="0" applyAlignment="1" pivotButton="0" quotePrefix="0" xfId="0">
      <alignment horizontal="left" vertical="center"/>
    </xf>
    <xf numFmtId="3" fontId="2" fillId="0" borderId="0" applyAlignment="1" pivotButton="0" quotePrefix="0" xfId="0">
      <alignment horizontal="center" vertical="center"/>
    </xf>
    <xf numFmtId="1" fontId="2" fillId="0" borderId="0" applyAlignment="1" pivotButton="0" quotePrefix="0" xfId="0">
      <alignment horizontal="center" vertical="center"/>
    </xf>
    <xf numFmtId="1" fontId="2" fillId="0" borderId="0" applyAlignment="1" pivotButton="0" quotePrefix="0" xfId="0">
      <alignment horizontal="left" vertical="center"/>
    </xf>
    <xf numFmtId="2" fontId="2" fillId="0" borderId="0" applyAlignment="1" pivotButton="0" quotePrefix="0" xfId="0">
      <alignment horizontal="center" vertical="center"/>
    </xf>
    <xf numFmtId="165"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left" vertical="center"/>
    </xf>
    <xf numFmtId="165" fontId="44" fillId="0" borderId="0" applyAlignment="1" pivotButton="0" quotePrefix="0" xfId="0">
      <alignment horizontal="center" vertical="center"/>
    </xf>
    <xf numFmtId="0" fontId="28" fillId="0" borderId="0" applyAlignment="1" pivotButton="0" quotePrefix="0" xfId="0">
      <alignment horizontal="left" vertical="center"/>
    </xf>
    <xf numFmtId="0" fontId="29" fillId="0" borderId="0" applyAlignment="1" pivotButton="0" quotePrefix="0" xfId="0">
      <alignment horizontal="left" vertical="center"/>
    </xf>
    <xf numFmtId="3" fontId="22" fillId="0" borderId="0" applyAlignment="1" pivotButton="0" quotePrefix="0" xfId="0">
      <alignment horizontal="center" vertical="center"/>
    </xf>
    <xf numFmtId="10" fontId="2" fillId="0" borderId="0" applyAlignment="1" pivotButton="0" quotePrefix="0" xfId="0">
      <alignment horizontal="center" vertical="center"/>
    </xf>
    <xf numFmtId="165" fontId="2" fillId="0" borderId="0" applyAlignment="1" pivotButton="0" quotePrefix="0" xfId="0">
      <alignment horizontal="center" vertical="center" wrapText="1"/>
    </xf>
    <xf numFmtId="0" fontId="2" fillId="0" borderId="1" applyAlignment="1" pivotButton="0" quotePrefix="0" xfId="0">
      <alignment horizontal="center" vertical="center"/>
    </xf>
    <xf numFmtId="0" fontId="4" fillId="0" borderId="0" applyAlignment="1" pivotButton="0" quotePrefix="0" xfId="0">
      <alignment horizontal="lef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 fontId="20" fillId="0" borderId="0" applyAlignment="1" pivotButton="0" quotePrefix="0" xfId="0">
      <alignment horizontal="center" vertical="center"/>
    </xf>
    <xf numFmtId="0" fontId="20" fillId="0" borderId="0" applyAlignment="1" pivotButton="0" quotePrefix="0" xfId="0">
      <alignment horizontal="center" vertical="center"/>
    </xf>
    <xf numFmtId="1" fontId="44" fillId="0" borderId="0" applyAlignment="1" pivotButton="0" quotePrefix="0" xfId="0">
      <alignment horizontal="center" vertical="center"/>
    </xf>
    <xf numFmtId="164" fontId="2" fillId="0" borderId="0" applyAlignment="1" pivotButton="0" quotePrefix="0" xfId="0">
      <alignment horizontal="center" vertical="center"/>
    </xf>
    <xf numFmtId="0" fontId="41" fillId="0" borderId="0" applyAlignment="1" pivotButton="0" quotePrefix="0" xfId="0">
      <alignment horizontal="left" vertical="center"/>
    </xf>
    <xf numFmtId="0" fontId="41" fillId="0" borderId="0" applyAlignment="1" pivotButton="0" quotePrefix="0" xfId="0">
      <alignment horizontal="center" vertical="center"/>
    </xf>
    <xf numFmtId="165" fontId="45" fillId="0" borderId="0" applyAlignment="1" pivotButton="0" quotePrefix="0" xfId="0">
      <alignment horizontal="center" vertical="center"/>
    </xf>
    <xf numFmtId="10" fontId="44" fillId="0" borderId="0" applyAlignment="1" pivotButton="0" quotePrefix="0" xfId="0">
      <alignment horizontal="center" vertical="center"/>
    </xf>
    <xf numFmtId="0" fontId="12" fillId="0" borderId="0" applyAlignment="1" pivotButton="0" quotePrefix="0" xfId="0">
      <alignment vertical="center"/>
    </xf>
    <xf numFmtId="3" fontId="4" fillId="0" borderId="0" applyAlignment="1" pivotButton="0" quotePrefix="0" xfId="0">
      <alignment horizontal="center" vertical="center"/>
    </xf>
    <xf numFmtId="0" fontId="4" fillId="0" borderId="0" applyAlignment="1" pivotButton="0" quotePrefix="0" xfId="0">
      <alignment horizontal="center" vertical="center"/>
    </xf>
    <xf numFmtId="0" fontId="10" fillId="0" borderId="0" applyAlignment="1" pivotButton="0" quotePrefix="0" xfId="0">
      <alignment vertical="center"/>
    </xf>
    <xf numFmtId="0" fontId="2" fillId="0" borderId="2" applyAlignment="1" pivotButton="0" quotePrefix="0" xfId="0">
      <alignment horizontal="center" vertical="center"/>
    </xf>
    <xf numFmtId="0" fontId="2" fillId="0" borderId="2" applyAlignment="1" pivotButton="0" quotePrefix="0" xfId="0">
      <alignment horizontal="left" vertical="center"/>
    </xf>
    <xf numFmtId="3" fontId="2" fillId="0" borderId="2" applyAlignment="1" pivotButton="0" quotePrefix="0" xfId="0">
      <alignment horizontal="center" vertical="center"/>
    </xf>
    <xf numFmtId="1" fontId="2" fillId="0" borderId="2" applyAlignment="1" pivotButton="0" quotePrefix="0" xfId="0">
      <alignment horizontal="center" vertical="center"/>
    </xf>
    <xf numFmtId="10" fontId="2" fillId="0" borderId="2" applyAlignment="1" pivotButton="0" quotePrefix="0" xfId="0">
      <alignment horizontal="center" vertical="center"/>
    </xf>
    <xf numFmtId="1" fontId="2" fillId="0" borderId="2" applyAlignment="1" pivotButton="0" quotePrefix="0" xfId="0">
      <alignment horizontal="left" vertical="center"/>
    </xf>
    <xf numFmtId="2" fontId="2" fillId="0" borderId="2" applyAlignment="1" pivotButton="0" quotePrefix="0" xfId="0">
      <alignment horizontal="center" vertical="center"/>
    </xf>
    <xf numFmtId="164" fontId="2" fillId="0" borderId="2" applyAlignment="1" pivotButton="0" quotePrefix="0" xfId="0">
      <alignment horizontal="center" vertical="center"/>
    </xf>
    <xf numFmtId="14" fontId="2" fillId="0" borderId="2" applyAlignment="1" pivotButton="0" quotePrefix="0" xfId="0">
      <alignment horizontal="center" vertical="center"/>
    </xf>
    <xf numFmtId="166"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0" fontId="22" fillId="0" borderId="2" applyAlignment="1" pivotButton="0" quotePrefix="0" xfId="0">
      <alignment horizontal="left" vertical="center"/>
    </xf>
    <xf numFmtId="0" fontId="11" fillId="0" borderId="2" applyAlignment="1" pivotButton="0" quotePrefix="0" xfId="0">
      <alignment horizontal="left" vertical="center"/>
    </xf>
    <xf numFmtId="168" fontId="2" fillId="0" borderId="2" applyAlignment="1" pivotButton="0" quotePrefix="0" xfId="0">
      <alignment horizontal="center" vertical="center"/>
    </xf>
    <xf numFmtId="10" fontId="2" fillId="0" borderId="2" applyAlignment="1" pivotButton="0" quotePrefix="0" xfId="0">
      <alignment horizontal="center" vertical="center" wrapText="1"/>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0" fontId="8" fillId="0" borderId="0" applyAlignment="1" pivotButton="0" quotePrefix="0" xfId="0">
      <alignment horizontal="center" vertical="center" wrapText="1"/>
    </xf>
    <xf numFmtId="0" fontId="2" fillId="10" borderId="0" applyAlignment="1" pivotButton="0" quotePrefix="0" xfId="0">
      <alignment horizontal="center" vertical="center"/>
    </xf>
    <xf numFmtId="0" fontId="41" fillId="10" borderId="0" applyAlignment="1" pivotButton="0" quotePrefix="0" xfId="0">
      <alignment horizontal="left" vertical="center"/>
    </xf>
    <xf numFmtId="0" fontId="4" fillId="5" borderId="0" applyAlignment="1" pivotButton="0" quotePrefix="0" xfId="0">
      <alignment horizontal="left" vertical="center"/>
    </xf>
    <xf numFmtId="0" fontId="4" fillId="5" borderId="0" applyAlignment="1" pivotButton="0" quotePrefix="0" xfId="0">
      <alignment horizontal="center" vertical="center"/>
    </xf>
    <xf numFmtId="0" fontId="2" fillId="5" borderId="0" applyAlignment="1" pivotButton="0" quotePrefix="0" xfId="0">
      <alignment horizontal="center" vertical="center"/>
    </xf>
    <xf numFmtId="0" fontId="2" fillId="5" borderId="0" applyAlignment="1" pivotButton="0" quotePrefix="0" xfId="0">
      <alignment horizontal="center" vertical="center" wrapText="1"/>
    </xf>
    <xf numFmtId="165" fontId="2" fillId="5" borderId="0" applyAlignment="1" pivotButton="0" quotePrefix="0" xfId="0">
      <alignment horizontal="center" vertical="center"/>
    </xf>
    <xf numFmtId="0" fontId="7" fillId="2" borderId="0" applyAlignment="1" pivotButton="0" quotePrefix="0" xfId="0">
      <alignment horizontal="left" vertical="center"/>
    </xf>
    <xf numFmtId="0" fontId="20" fillId="2" borderId="0" applyAlignment="1" pivotButton="0" quotePrefix="0" xfId="0">
      <alignment horizontal="center" vertical="center"/>
    </xf>
    <xf numFmtId="0" fontId="20" fillId="2" borderId="0" applyAlignment="1" pivotButton="0" quotePrefix="0" xfId="0">
      <alignment horizontal="center" vertical="center" wrapText="1"/>
    </xf>
    <xf numFmtId="0" fontId="20" fillId="2" borderId="0" applyAlignment="1" pivotButton="0" quotePrefix="0" xfId="0">
      <alignment horizontal="left" vertical="center" wrapText="1"/>
    </xf>
    <xf numFmtId="0" fontId="2" fillId="0" borderId="0" pivotButton="0" quotePrefix="0" xfId="0"/>
    <xf numFmtId="0" fontId="2" fillId="2" borderId="0" pivotButton="0" quotePrefix="0" xfId="0"/>
    <xf numFmtId="0" fontId="20" fillId="5" borderId="0" pivotButton="0" quotePrefix="0" xfId="0"/>
    <xf numFmtId="0" fontId="2" fillId="5" borderId="0" pivotButton="0" quotePrefix="0" xfId="0"/>
    <xf numFmtId="0" fontId="7" fillId="6" borderId="0" pivotButton="0" quotePrefix="0" xfId="0"/>
    <xf numFmtId="0" fontId="20" fillId="6" borderId="0" pivotButton="0" quotePrefix="0" xfId="0"/>
    <xf numFmtId="165" fontId="2" fillId="0" borderId="0" pivotButton="0" quotePrefix="0" xfId="0"/>
    <xf numFmtId="0" fontId="9" fillId="4" borderId="3" applyAlignment="1" pivotButton="0" quotePrefix="0" xfId="0">
      <alignment horizontal="center" vertical="center" wrapText="1"/>
    </xf>
    <xf numFmtId="0" fontId="20" fillId="3" borderId="1" applyAlignment="1" pivotButton="0" quotePrefix="0" xfId="0">
      <alignment horizontal="left" vertical="center"/>
    </xf>
    <xf numFmtId="165" fontId="2" fillId="0" borderId="1" applyAlignment="1" pivotButton="0" quotePrefix="0" xfId="0">
      <alignment horizontal="center" vertical="center" wrapText="1"/>
    </xf>
    <xf numFmtId="9" fontId="2" fillId="0" borderId="1" applyAlignment="1" pivotButton="0" quotePrefix="0" xfId="0">
      <alignment horizontal="center" vertical="center" wrapText="1"/>
    </xf>
    <xf numFmtId="0" fontId="4" fillId="11" borderId="0" applyAlignment="1" pivotButton="0" quotePrefix="0" xfId="0">
      <alignment horizontal="right" vertical="center"/>
    </xf>
    <xf numFmtId="14" fontId="4" fillId="11" borderId="0" applyAlignment="1" pivotButton="0" quotePrefix="0" xfId="0">
      <alignment horizontal="left" vertical="center"/>
    </xf>
    <xf numFmtId="9" fontId="2" fillId="0" borderId="2" applyAlignment="1" pivotButton="0" quotePrefix="0" xfId="0">
      <alignment horizontal="left" vertical="center"/>
    </xf>
    <xf numFmtId="0" fontId="2" fillId="12" borderId="1" applyAlignment="1" pivotButton="0" quotePrefix="0" xfId="0">
      <alignment horizontal="center" vertical="center"/>
    </xf>
    <xf numFmtId="0" fontId="2" fillId="13" borderId="1" applyAlignment="1" pivotButton="0" quotePrefix="0" xfId="0">
      <alignment horizontal="center" vertical="center"/>
    </xf>
    <xf numFmtId="0" fontId="2" fillId="14" borderId="1" applyAlignment="1" pivotButton="0" quotePrefix="0" xfId="0">
      <alignment horizontal="center" vertical="center"/>
    </xf>
    <xf numFmtId="0" fontId="2" fillId="15" borderId="1" applyAlignment="1" pivotButton="0" quotePrefix="0" xfId="0">
      <alignment horizontal="center" vertical="center"/>
    </xf>
    <xf numFmtId="9" fontId="2" fillId="0" borderId="2" applyAlignment="1" pivotButton="0" quotePrefix="0" xfId="0">
      <alignment horizontal="center" vertical="center"/>
    </xf>
    <xf numFmtId="165" fontId="2" fillId="0" borderId="0" pivotButton="0" quotePrefix="0" xfId="0"/>
    <xf numFmtId="165" fontId="2" fillId="0" borderId="1" applyAlignment="1" pivotButton="0" quotePrefix="0" xfId="0">
      <alignment horizontal="center" vertical="center" wrapText="1"/>
    </xf>
    <xf numFmtId="165" fontId="2" fillId="0" borderId="0" applyAlignment="1" pivotButton="0" quotePrefix="0" xfId="0">
      <alignment horizontal="center" vertical="center"/>
    </xf>
    <xf numFmtId="165" fontId="44" fillId="0" borderId="0" applyAlignment="1" pivotButton="0" quotePrefix="0" xfId="0">
      <alignment horizontal="center" vertical="center"/>
    </xf>
    <xf numFmtId="165" fontId="2" fillId="0" borderId="0" applyAlignment="1" pivotButton="0" quotePrefix="0" xfId="0">
      <alignment horizontal="center" vertical="center" wrapText="1"/>
    </xf>
    <xf numFmtId="164" fontId="2" fillId="0" borderId="0" applyAlignment="1" pivotButton="0" quotePrefix="0" xfId="0">
      <alignment horizontal="righ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65" fontId="2" fillId="5" borderId="0" applyAlignment="1" pivotButton="0" quotePrefix="0" xfId="0">
      <alignment horizontal="center" vertical="center"/>
    </xf>
    <xf numFmtId="164" fontId="2" fillId="0" borderId="0" applyAlignment="1" pivotButton="0" quotePrefix="0" xfId="0">
      <alignment horizontal="center" vertical="center"/>
    </xf>
    <xf numFmtId="165" fontId="45" fillId="0" borderId="0" applyAlignment="1" pivotButton="0" quotePrefix="0" xfId="0">
      <alignment horizontal="center" vertical="center"/>
    </xf>
    <xf numFmtId="164"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168" fontId="2" fillId="0" borderId="2" applyAlignment="1" pivotButton="0" quotePrefix="0" xfId="0">
      <alignment horizontal="center" vertical="center"/>
    </xf>
    <xf numFmtId="164" fontId="11" fillId="0" borderId="2" applyAlignment="1" pivotButton="0" quotePrefix="0" xfId="6">
      <alignment horizontal="center" vertical="center"/>
    </xf>
    <xf numFmtId="165" fontId="2" fillId="0" borderId="1" applyAlignment="1" pivotButton="0" quotePrefix="0" xfId="0">
      <alignment horizontal="center" vertical="center"/>
    </xf>
  </cellXfs>
  <cellStyles count="25">
    <cellStyle name="Обычный" xfId="0" builtinId="0"/>
    <cellStyle name="Гиперссылка 13" xfId="1"/>
    <cellStyle name="Обычный 2 2" xfId="2"/>
    <cellStyle name="Гиперссылка 12" xfId="3"/>
    <cellStyle name="Обычный 3 2 2" xfId="4"/>
    <cellStyle name="Обычный 2 4" xfId="5"/>
    <cellStyle name="Денежный" xfId="6" builtinId="4"/>
    <cellStyle name="Обычный 293" xfId="7"/>
    <cellStyle name="Гиперссылка 2" xfId="8"/>
    <cellStyle name="Обычный 17 2" xfId="9"/>
    <cellStyle name="Гиперссылка 2 2" xfId="10"/>
    <cellStyle name="Обычный 2 3" xfId="11"/>
    <cellStyle name="Гиперссылка 312" xfId="12"/>
    <cellStyle name="Гиперссылка 4" xfId="13"/>
    <cellStyle name="Обычный 10" xfId="14"/>
    <cellStyle name="Hyperlink" xfId="15"/>
    <cellStyle name="Обычный 4" xfId="16"/>
    <cellStyle name="Hyperlink 2" xfId="17"/>
    <cellStyle name="Гиперссылка 13 2" xfId="18"/>
    <cellStyle name="Гиперссылка 10" xfId="19"/>
    <cellStyle name="Обычный 37" xfId="20"/>
    <cellStyle name="Гиперссылка 3" xfId="21"/>
    <cellStyle name="S3" xfId="22"/>
    <cellStyle name="Обычный 5 2" xfId="23"/>
    <cellStyle name="Гиперссылка 5" xfId="24"/>
  </cellStyles>
  <dxfs count="43">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ont>
        <b val="1"/>
        <strike val="0"/>
        <color rgb="FFFF0000"/>
      </font>
    </dxf>
    <dxf>
      <fill>
        <patternFill>
          <bgColor theme="7" tint="0.7999816888943144"/>
        </patternFill>
      </fill>
    </dxf>
    <dxf>
      <fill>
        <patternFill>
          <bgColor theme="9" tint="0.5999633777886288"/>
        </patternFill>
      </fill>
    </dxf>
    <dxf>
      <fill>
        <patternFill>
          <bgColor theme="4" tint="0.5999633777886288"/>
        </patternFill>
      </fill>
    </dxf>
    <dxf>
      <fill>
        <patternFill>
          <bgColor theme="9" tint="0.5999633777886288"/>
        </patternFill>
      </fill>
    </dxf>
    <dxf>
      <font>
        <strike val="0"/>
        <color rgb="FFFF0000"/>
      </font>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9" tint="0.5999633777886288"/>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R18"/>
  <sheetViews>
    <sheetView showGridLines="0" zoomScale="70" zoomScaleNormal="70" workbookViewId="0">
      <selection activeCell="E36" sqref="E36"/>
    </sheetView>
  </sheetViews>
  <sheetFormatPr baseColWidth="8" defaultColWidth="8.7109375" defaultRowHeight="12.75"/>
  <cols>
    <col width="19.140625" customWidth="1" style="90" min="1" max="1"/>
    <col width="15.5703125" customWidth="1" style="90" min="2" max="13"/>
    <col hidden="1" outlineLevel="1" width="15.5703125" customWidth="1" style="90" min="14" max="18"/>
    <col collapsed="1" width="13.28515625" customWidth="1" style="90" min="19" max="19"/>
    <col width="13.28515625" customWidth="1" style="90" min="20" max="29"/>
    <col width="8.7109375" customWidth="1" style="90" min="30" max="16384"/>
  </cols>
  <sheetData>
    <row r="1">
      <c r="B1" s="91" t="inlineStr">
        <is>
          <t>КЛИЕНТ</t>
        </is>
      </c>
      <c r="C1" s="91" t="n"/>
      <c r="D1" s="91" t="n"/>
      <c r="E1" s="91" t="n"/>
      <c r="F1" s="91" t="n"/>
      <c r="G1" s="91" t="n"/>
      <c r="H1" s="92" t="inlineStr">
        <is>
          <t>БАИНГ</t>
        </is>
      </c>
      <c r="I1" s="93" t="n"/>
      <c r="J1" s="93" t="n"/>
      <c r="K1" s="93" t="n"/>
      <c r="L1" s="93" t="n"/>
      <c r="M1" s="93" t="n"/>
      <c r="N1" s="94" t="inlineStr">
        <is>
          <t>ПОДТВЕРЖДЕНО БАИНГ</t>
        </is>
      </c>
      <c r="O1" s="95" t="n"/>
      <c r="P1" s="95" t="n"/>
      <c r="Q1" s="95" t="n"/>
      <c r="R1" s="95" t="n"/>
    </row>
    <row r="2">
      <c r="B2" s="109">
        <f>SUBTOTAL(9,B4:B18)</f>
        <v/>
      </c>
      <c r="C2" s="109">
        <f>SUBTOTAL(9,C4:C18)</f>
        <v/>
      </c>
      <c r="D2" s="109">
        <f>SUBTOTAL(9,D4:D18)</f>
        <v/>
      </c>
      <c r="E2" s="109">
        <f>SUBTOTAL(9,E4:E18)</f>
        <v/>
      </c>
      <c r="F2" s="109">
        <f>SUBTOTAL(9,F4:F18)</f>
        <v/>
      </c>
      <c r="G2" s="109" t="n"/>
      <c r="H2" s="109">
        <f>SUBTOTAL(9,H4:H18)</f>
        <v/>
      </c>
      <c r="I2" s="109">
        <f>SUBTOTAL(9,I4:I18)</f>
        <v/>
      </c>
      <c r="J2" s="109">
        <f>SUBTOTAL(9,J4:J18)</f>
        <v/>
      </c>
      <c r="K2" s="109">
        <f>SUBTOTAL(9,K4:K18)</f>
        <v/>
      </c>
      <c r="L2" s="109">
        <f>SUBTOTAL(9,L4:L18)</f>
        <v/>
      </c>
      <c r="M2" s="109" t="n"/>
      <c r="N2" s="109">
        <f>SUBTOTAL(9,N4:N18)</f>
        <v/>
      </c>
      <c r="O2" s="109">
        <f>SUBTOTAL(9,O4:O18)</f>
        <v/>
      </c>
      <c r="P2" s="109">
        <f>SUBTOTAL(9,P4:P18)</f>
        <v/>
      </c>
      <c r="Q2" s="109">
        <f>SUBTOTAL(9,Q4:Q18)</f>
        <v/>
      </c>
      <c r="R2" s="109">
        <f>SUBTOTAL(9,R4:R18)</f>
        <v/>
      </c>
    </row>
    <row r="3" ht="25.5" customHeight="1">
      <c r="A3" s="2" t="inlineStr">
        <is>
          <t>Наименование подрядчика</t>
        </is>
      </c>
      <c r="B3" s="2" t="inlineStr">
        <is>
          <t>Размещение, 
руб., NET</t>
        </is>
      </c>
      <c r="C3" s="2" t="inlineStr">
        <is>
          <t>Производство, 
руб., NET</t>
        </is>
      </c>
      <c r="D3" s="2" t="inlineStr">
        <is>
          <t>Де/монтаж, 
руб., NET</t>
        </is>
      </c>
      <c r="E3" s="2" t="inlineStr">
        <is>
          <t>ИТОГО, 
руб., NET</t>
        </is>
      </c>
      <c r="F3" s="2" t="inlineStr">
        <is>
          <t>ИТОГО, 
руб., GROSS</t>
        </is>
      </c>
      <c r="G3" s="97" t="inlineStr">
        <is>
          <t>НАЛОГ 
Заказчика</t>
        </is>
      </c>
      <c r="H3" s="2" t="inlineStr">
        <is>
          <t>Размещение, 
руб., NET</t>
        </is>
      </c>
      <c r="I3" s="2" t="inlineStr">
        <is>
          <t>Производство, 
руб., NET</t>
        </is>
      </c>
      <c r="J3" s="2" t="inlineStr">
        <is>
          <t>Де/монтаж, 
руб., NET</t>
        </is>
      </c>
      <c r="K3" s="2" t="inlineStr">
        <is>
          <t>ИТОГО, 
руб., NET</t>
        </is>
      </c>
      <c r="L3" s="2" t="inlineStr">
        <is>
          <t>ИТОГО, 
руб., GROSS</t>
        </is>
      </c>
      <c r="M3" s="97" t="inlineStr">
        <is>
          <t>НАЛОГ 
подрядчика</t>
        </is>
      </c>
      <c r="N3" s="2" t="inlineStr">
        <is>
          <t>Размещение, 
руб., NET</t>
        </is>
      </c>
      <c r="O3" s="2" t="inlineStr">
        <is>
          <t>Производство, 
руб., NET</t>
        </is>
      </c>
      <c r="P3" s="2" t="inlineStr">
        <is>
          <t>Де/монтаж, 
руб., NET</t>
        </is>
      </c>
      <c r="Q3" s="2" t="inlineStr">
        <is>
          <t>ИТОГО, 
руб., NET</t>
        </is>
      </c>
      <c r="R3" s="2" t="inlineStr">
        <is>
          <t>ИТОГО, 
руб., GROSS</t>
        </is>
      </c>
    </row>
    <row r="4">
      <c r="A4" s="98" t="n"/>
      <c r="B4" s="110">
        <f>SUMIFS(МП!$CC:$CC,МП!$ES:$ES,$A4)</f>
        <v/>
      </c>
      <c r="C4" s="110">
        <f>SUMIFS(МП!$CE:$CE,МП!$ES:$ES,$A4)</f>
        <v/>
      </c>
      <c r="D4" s="110">
        <f>SUMIFS(МП!$CG:$CG,МП!$ES:$ES,$A4)</f>
        <v/>
      </c>
      <c r="E4" s="110">
        <f>SUM(B4:D4)</f>
        <v/>
      </c>
      <c r="F4" s="110">
        <f>E4*(1+G4)</f>
        <v/>
      </c>
      <c r="G4" s="100">
        <f>IFERROR(AVERAGEIFS(МП!$CM:$CM,МП!$ES:$ES,$A4),0)</f>
        <v/>
      </c>
      <c r="H4" s="110">
        <f>SUMIFS(МП!$EE:$EE,МП!$ES:$ES,$A4)</f>
        <v/>
      </c>
      <c r="I4" s="110">
        <f>SUMIFS(МП!$EI:$EI,МП!$ES:$ES,$A4)</f>
        <v/>
      </c>
      <c r="J4" s="110">
        <f>SUMIFS(МП!$EL:$EL,МП!$ES:$ES,$A4)</f>
        <v/>
      </c>
      <c r="K4" s="110">
        <f>SUM(H4:J4)</f>
        <v/>
      </c>
      <c r="L4" s="110">
        <f>K4*(1+M4)</f>
        <v/>
      </c>
      <c r="M4" s="100">
        <f>IFERROR(AVERAGEIFS(МП!$EP:$EP,МП!$ES:$ES,$A4),0)</f>
        <v/>
      </c>
      <c r="N4" s="110">
        <f>SUMIFS(МП!$EE:$EE,МП!$ES:$ES,$A4,МП!$CV:$CV,"подтверждено")</f>
        <v/>
      </c>
      <c r="O4" s="110">
        <f>SUMIFS(МП!$EI:$EI,МП!$ES:$ES,$A4,МП!$CV:$CV,"подтверждено")</f>
        <v/>
      </c>
      <c r="P4" s="110">
        <f>SUMIFS(МП!$EL:$EL,МП!$ES:$ES,$A4,МП!$CV:$CV,"подтверждено")</f>
        <v/>
      </c>
      <c r="Q4" s="110">
        <f>SUM(N4:P4)</f>
        <v/>
      </c>
      <c r="R4" s="110">
        <f>Q4*(1+M4)</f>
        <v/>
      </c>
    </row>
    <row r="5">
      <c r="A5" s="98" t="n"/>
      <c r="B5" s="110">
        <f>SUMIFS(МП!$CC:$CC,МП!$ES:$ES,$A5)</f>
        <v/>
      </c>
      <c r="C5" s="110">
        <f>SUMIFS(МП!$CE:$CE,МП!$ES:$ES,$A5)</f>
        <v/>
      </c>
      <c r="D5" s="110">
        <f>SUMIFS(МП!$CG:$CG,МП!$ES:$ES,$A5)</f>
        <v/>
      </c>
      <c r="E5" s="110">
        <f>SUM(B5:D5)</f>
        <v/>
      </c>
      <c r="F5" s="110">
        <f>E5*(1+G5)</f>
        <v/>
      </c>
      <c r="G5" s="100">
        <f>IFERROR(AVERAGEIFS(МП!$CM:$CM,МП!$ES:$ES,$A5),0)</f>
        <v/>
      </c>
      <c r="H5" s="110">
        <f>SUMIFS(МП!$EE:$EE,МП!$ES:$ES,$A5)</f>
        <v/>
      </c>
      <c r="I5" s="110">
        <f>SUMIFS(МП!$EI:$EI,МП!$ES:$ES,$A5)</f>
        <v/>
      </c>
      <c r="J5" s="110">
        <f>SUMIFS(МП!$EL:$EL,МП!$ES:$ES,$A5)</f>
        <v/>
      </c>
      <c r="K5" s="110">
        <f>SUM(H5:J5)</f>
        <v/>
      </c>
      <c r="L5" s="110">
        <f>K5*(1+M5)</f>
        <v/>
      </c>
      <c r="M5" s="100">
        <f>IFERROR(AVERAGEIFS(МП!$EP:$EP,МП!$ES:$ES,$A5),0)</f>
        <v/>
      </c>
      <c r="N5" s="110">
        <f>SUMIFS(МП!$EE:$EE,МП!$ES:$ES,$A5,МП!$CV:$CV,"подтверждено")</f>
        <v/>
      </c>
      <c r="O5" s="110">
        <f>SUMIFS(МП!$EI:$EI,МП!$ES:$ES,$A5,МП!$CV:$CV,"подтверждено")</f>
        <v/>
      </c>
      <c r="P5" s="110">
        <f>SUMIFS(МП!$EL:$EL,МП!$ES:$ES,$A5,МП!$CV:$CV,"подтверждено")</f>
        <v/>
      </c>
      <c r="Q5" s="110">
        <f>SUM(N5:P5)</f>
        <v/>
      </c>
      <c r="R5" s="110">
        <f>Q5*(1+M5)</f>
        <v/>
      </c>
    </row>
    <row r="6">
      <c r="A6" s="98" t="n"/>
      <c r="B6" s="110">
        <f>SUMIFS(МП!$CC:$CC,МП!$ES:$ES,$A6)</f>
        <v/>
      </c>
      <c r="C6" s="110">
        <f>SUMIFS(МП!$CE:$CE,МП!$ES:$ES,$A6)</f>
        <v/>
      </c>
      <c r="D6" s="110">
        <f>SUMIFS(МП!$CG:$CG,МП!$ES:$ES,$A6)</f>
        <v/>
      </c>
      <c r="E6" s="110">
        <f>SUM(B6:D6)</f>
        <v/>
      </c>
      <c r="F6" s="110">
        <f>E6*(1+G6)</f>
        <v/>
      </c>
      <c r="G6" s="100">
        <f>IFERROR(AVERAGEIFS(МП!$CM:$CM,МП!$ES:$ES,$A6),0)</f>
        <v/>
      </c>
      <c r="H6" s="110">
        <f>SUMIFS(МП!$EE:$EE,МП!$ES:$ES,$A6)</f>
        <v/>
      </c>
      <c r="I6" s="110">
        <f>SUMIFS(МП!$EI:$EI,МП!$ES:$ES,$A6)</f>
        <v/>
      </c>
      <c r="J6" s="110">
        <f>SUMIFS(МП!$EL:$EL,МП!$ES:$ES,$A6)</f>
        <v/>
      </c>
      <c r="K6" s="110">
        <f>SUM(H6:J6)</f>
        <v/>
      </c>
      <c r="L6" s="110">
        <f>K6*(1+M6)</f>
        <v/>
      </c>
      <c r="M6" s="100">
        <f>IFERROR(AVERAGEIFS(МП!$EP:$EP,МП!$ES:$ES,$A6),0)</f>
        <v/>
      </c>
      <c r="N6" s="110">
        <f>SUMIFS(МП!$EE:$EE,МП!$ES:$ES,$A6,МП!$CV:$CV,"подтверждено")</f>
        <v/>
      </c>
      <c r="O6" s="110">
        <f>SUMIFS(МП!$EI:$EI,МП!$ES:$ES,$A6,МП!$CV:$CV,"подтверждено")</f>
        <v/>
      </c>
      <c r="P6" s="110">
        <f>SUMIFS(МП!$EL:$EL,МП!$ES:$ES,$A6,МП!$CV:$CV,"подтверждено")</f>
        <v/>
      </c>
      <c r="Q6" s="110">
        <f>SUM(N6:P6)</f>
        <v/>
      </c>
      <c r="R6" s="110">
        <f>Q6*(1+M6)</f>
        <v/>
      </c>
    </row>
    <row r="7">
      <c r="A7" s="98" t="n"/>
      <c r="B7" s="110">
        <f>SUMIFS(МП!$CC:$CC,МП!$ES:$ES,$A7)</f>
        <v/>
      </c>
      <c r="C7" s="110">
        <f>SUMIFS(МП!$CE:$CE,МП!$ES:$ES,$A7)</f>
        <v/>
      </c>
      <c r="D7" s="110">
        <f>SUMIFS(МП!$CG:$CG,МП!$ES:$ES,$A7)</f>
        <v/>
      </c>
      <c r="E7" s="110">
        <f>SUM(B7:D7)</f>
        <v/>
      </c>
      <c r="F7" s="110">
        <f>E7*(1+G7)</f>
        <v/>
      </c>
      <c r="G7" s="100">
        <f>IFERROR(AVERAGEIFS(МП!$CM:$CM,МП!$ES:$ES,$A7),0)</f>
        <v/>
      </c>
      <c r="H7" s="110">
        <f>SUMIFS(МП!$EE:$EE,МП!$ES:$ES,$A7)</f>
        <v/>
      </c>
      <c r="I7" s="110">
        <f>SUMIFS(МП!$EI:$EI,МП!$ES:$ES,$A7)</f>
        <v/>
      </c>
      <c r="J7" s="110">
        <f>SUMIFS(МП!$EL:$EL,МП!$ES:$ES,$A7)</f>
        <v/>
      </c>
      <c r="K7" s="110">
        <f>SUM(H7:J7)</f>
        <v/>
      </c>
      <c r="L7" s="110">
        <f>K7*(1+M7)</f>
        <v/>
      </c>
      <c r="M7" s="100">
        <f>IFERROR(AVERAGEIFS(МП!$EP:$EP,МП!$ES:$ES,$A7),0)</f>
        <v/>
      </c>
      <c r="N7" s="110">
        <f>SUMIFS(МП!$EE:$EE,МП!$ES:$ES,$A7,МП!$CV:$CV,"подтверждено")</f>
        <v/>
      </c>
      <c r="O7" s="110">
        <f>SUMIFS(МП!$EI:$EI,МП!$ES:$ES,$A7,МП!$CV:$CV,"подтверждено")</f>
        <v/>
      </c>
      <c r="P7" s="110">
        <f>SUMIFS(МП!$EL:$EL,МП!$ES:$ES,$A7,МП!$CV:$CV,"подтверждено")</f>
        <v/>
      </c>
      <c r="Q7" s="110">
        <f>SUM(N7:P7)</f>
        <v/>
      </c>
      <c r="R7" s="110">
        <f>Q7*(1+M7)</f>
        <v/>
      </c>
    </row>
    <row r="8">
      <c r="A8" s="98" t="n"/>
      <c r="B8" s="110">
        <f>SUMIFS(МП!$CC:$CC,МП!$ES:$ES,$A8)</f>
        <v/>
      </c>
      <c r="C8" s="110">
        <f>SUMIFS(МП!$CE:$CE,МП!$ES:$ES,$A8)</f>
        <v/>
      </c>
      <c r="D8" s="110">
        <f>SUMIFS(МП!$CG:$CG,МП!$ES:$ES,$A8)</f>
        <v/>
      </c>
      <c r="E8" s="110">
        <f>SUM(B8:D8)</f>
        <v/>
      </c>
      <c r="F8" s="110">
        <f>E8*(1+G8)</f>
        <v/>
      </c>
      <c r="G8" s="100">
        <f>IFERROR(AVERAGEIFS(МП!$CM:$CM,МП!$ES:$ES,$A8),0)</f>
        <v/>
      </c>
      <c r="H8" s="110">
        <f>SUMIFS(МП!$EE:$EE,МП!$ES:$ES,$A8)</f>
        <v/>
      </c>
      <c r="I8" s="110">
        <f>SUMIFS(МП!$EI:$EI,МП!$ES:$ES,$A8)</f>
        <v/>
      </c>
      <c r="J8" s="110">
        <f>SUMIFS(МП!$EL:$EL,МП!$ES:$ES,$A8)</f>
        <v/>
      </c>
      <c r="K8" s="110">
        <f>SUM(H8:J8)</f>
        <v/>
      </c>
      <c r="L8" s="110">
        <f>K8*(1+M8)</f>
        <v/>
      </c>
      <c r="M8" s="100">
        <f>IFERROR(AVERAGEIFS(МП!$EP:$EP,МП!$ES:$ES,$A8),0)</f>
        <v/>
      </c>
      <c r="N8" s="110">
        <f>SUMIFS(МП!$EE:$EE,МП!$ES:$ES,$A8,МП!$CV:$CV,"подтверждено")</f>
        <v/>
      </c>
      <c r="O8" s="110">
        <f>SUMIFS(МП!$EI:$EI,МП!$ES:$ES,$A8,МП!$CV:$CV,"подтверждено")</f>
        <v/>
      </c>
      <c r="P8" s="110">
        <f>SUMIFS(МП!$EL:$EL,МП!$ES:$ES,$A8,МП!$CV:$CV,"подтверждено")</f>
        <v/>
      </c>
      <c r="Q8" s="110">
        <f>SUM(N8:P8)</f>
        <v/>
      </c>
      <c r="R8" s="110">
        <f>Q8*(1+M8)</f>
        <v/>
      </c>
    </row>
    <row r="9">
      <c r="A9" s="98" t="n"/>
      <c r="B9" s="110">
        <f>SUMIFS(МП!$CC:$CC,МП!$ES:$ES,$A9)</f>
        <v/>
      </c>
      <c r="C9" s="110">
        <f>SUMIFS(МП!$CE:$CE,МП!$ES:$ES,$A9)</f>
        <v/>
      </c>
      <c r="D9" s="110">
        <f>SUMIFS(МП!$CG:$CG,МП!$ES:$ES,$A9)</f>
        <v/>
      </c>
      <c r="E9" s="110">
        <f>SUM(B9:D9)</f>
        <v/>
      </c>
      <c r="F9" s="110">
        <f>E9*(1+G9)</f>
        <v/>
      </c>
      <c r="G9" s="100">
        <f>IFERROR(AVERAGEIFS(МП!$CM:$CM,МП!$ES:$ES,$A9),0)</f>
        <v/>
      </c>
      <c r="H9" s="110">
        <f>SUMIFS(МП!$EE:$EE,МП!$ES:$ES,$A9)</f>
        <v/>
      </c>
      <c r="I9" s="110">
        <f>SUMIFS(МП!$EI:$EI,МП!$ES:$ES,$A9)</f>
        <v/>
      </c>
      <c r="J9" s="110">
        <f>SUMIFS(МП!$EL:$EL,МП!$ES:$ES,$A9)</f>
        <v/>
      </c>
      <c r="K9" s="110">
        <f>SUM(H9:J9)</f>
        <v/>
      </c>
      <c r="L9" s="110">
        <f>K9*(1+M9)</f>
        <v/>
      </c>
      <c r="M9" s="100">
        <f>IFERROR(AVERAGEIFS(МП!$EP:$EP,МП!$ES:$ES,$A9),0)</f>
        <v/>
      </c>
      <c r="N9" s="110">
        <f>SUMIFS(МП!$EE:$EE,МП!$ES:$ES,$A9,МП!$CV:$CV,"подтверждено")</f>
        <v/>
      </c>
      <c r="O9" s="110">
        <f>SUMIFS(МП!$EI:$EI,МП!$ES:$ES,$A9,МП!$CV:$CV,"подтверждено")</f>
        <v/>
      </c>
      <c r="P9" s="110">
        <f>SUMIFS(МП!$EL:$EL,МП!$ES:$ES,$A9,МП!$CV:$CV,"подтверждено")</f>
        <v/>
      </c>
      <c r="Q9" s="110">
        <f>SUM(N9:P9)</f>
        <v/>
      </c>
      <c r="R9" s="110">
        <f>Q9*(1+M9)</f>
        <v/>
      </c>
    </row>
    <row r="10">
      <c r="A10" s="98" t="n"/>
      <c r="B10" s="110">
        <f>SUMIFS(МП!$CC:$CC,МП!$ES:$ES,$A10)</f>
        <v/>
      </c>
      <c r="C10" s="110">
        <f>SUMIFS(МП!$CE:$CE,МП!$ES:$ES,$A10)</f>
        <v/>
      </c>
      <c r="D10" s="110">
        <f>SUMIFS(МП!$CG:$CG,МП!$ES:$ES,$A10)</f>
        <v/>
      </c>
      <c r="E10" s="110">
        <f>SUM(B10:D10)</f>
        <v/>
      </c>
      <c r="F10" s="110">
        <f>E10*(1+G10)</f>
        <v/>
      </c>
      <c r="G10" s="100">
        <f>IFERROR(AVERAGEIFS(МП!$CM:$CM,МП!$ES:$ES,$A10),0)</f>
        <v/>
      </c>
      <c r="H10" s="110">
        <f>SUMIFS(МП!$EE:$EE,МП!$ES:$ES,$A10)</f>
        <v/>
      </c>
      <c r="I10" s="110">
        <f>SUMIFS(МП!$EI:$EI,МП!$ES:$ES,$A10)</f>
        <v/>
      </c>
      <c r="J10" s="110">
        <f>SUMIFS(МП!$EL:$EL,МП!$ES:$ES,$A10)</f>
        <v/>
      </c>
      <c r="K10" s="110">
        <f>SUM(H10:J10)</f>
        <v/>
      </c>
      <c r="L10" s="110">
        <f>K10*(1+M10)</f>
        <v/>
      </c>
      <c r="M10" s="100">
        <f>IFERROR(AVERAGEIFS(МП!$EP:$EP,МП!$ES:$ES,$A10),0)</f>
        <v/>
      </c>
      <c r="N10" s="110">
        <f>SUMIFS(МП!$EE:$EE,МП!$ES:$ES,$A10,МП!$CV:$CV,"подтверждено")</f>
        <v/>
      </c>
      <c r="O10" s="110">
        <f>SUMIFS(МП!$EI:$EI,МП!$ES:$ES,$A10,МП!$CV:$CV,"подтверждено")</f>
        <v/>
      </c>
      <c r="P10" s="110">
        <f>SUMIFS(МП!$EL:$EL,МП!$ES:$ES,$A10,МП!$CV:$CV,"подтверждено")</f>
        <v/>
      </c>
      <c r="Q10" s="110">
        <f>SUM(N10:P10)</f>
        <v/>
      </c>
      <c r="R10" s="110">
        <f>Q10*(1+M10)</f>
        <v/>
      </c>
    </row>
    <row r="11">
      <c r="A11" s="98" t="n"/>
      <c r="B11" s="110">
        <f>SUMIFS(МП!$CC:$CC,МП!$ES:$ES,$A11)</f>
        <v/>
      </c>
      <c r="C11" s="110">
        <f>SUMIFS(МП!$CE:$CE,МП!$ES:$ES,$A11)</f>
        <v/>
      </c>
      <c r="D11" s="110">
        <f>SUMIFS(МП!$CG:$CG,МП!$ES:$ES,$A11)</f>
        <v/>
      </c>
      <c r="E11" s="110">
        <f>SUM(B11:D11)</f>
        <v/>
      </c>
      <c r="F11" s="110">
        <f>E11*(1+G11)</f>
        <v/>
      </c>
      <c r="G11" s="100">
        <f>IFERROR(AVERAGEIFS(МП!$CM:$CM,МП!$ES:$ES,$A11),0)</f>
        <v/>
      </c>
      <c r="H11" s="110">
        <f>SUMIFS(МП!$EE:$EE,МП!$ES:$ES,$A11)</f>
        <v/>
      </c>
      <c r="I11" s="110">
        <f>SUMIFS(МП!$EI:$EI,МП!$ES:$ES,$A11)</f>
        <v/>
      </c>
      <c r="J11" s="110">
        <f>SUMIFS(МП!$EL:$EL,МП!$ES:$ES,$A11)</f>
        <v/>
      </c>
      <c r="K11" s="110">
        <f>SUM(H11:J11)</f>
        <v/>
      </c>
      <c r="L11" s="110">
        <f>K11*(1+M11)</f>
        <v/>
      </c>
      <c r="M11" s="100">
        <f>IFERROR(AVERAGEIFS(МП!$EP:$EP,МП!$ES:$ES,$A11),0)</f>
        <v/>
      </c>
      <c r="N11" s="110">
        <f>SUMIFS(МП!$EE:$EE,МП!$ES:$ES,$A11,МП!$CV:$CV,"подтверждено")</f>
        <v/>
      </c>
      <c r="O11" s="110">
        <f>SUMIFS(МП!$EI:$EI,МП!$ES:$ES,$A11,МП!$CV:$CV,"подтверждено")</f>
        <v/>
      </c>
      <c r="P11" s="110">
        <f>SUMIFS(МП!$EL:$EL,МП!$ES:$ES,$A11,МП!$CV:$CV,"подтверждено")</f>
        <v/>
      </c>
      <c r="Q11" s="110">
        <f>SUM(N11:P11)</f>
        <v/>
      </c>
      <c r="R11" s="110">
        <f>Q11*(1+M11)</f>
        <v/>
      </c>
    </row>
    <row r="12">
      <c r="A12" s="98" t="n"/>
      <c r="B12" s="110">
        <f>SUMIFS(МП!$CC:$CC,МП!$ES:$ES,$A12)</f>
        <v/>
      </c>
      <c r="C12" s="110">
        <f>SUMIFS(МП!$CE:$CE,МП!$ES:$ES,$A12)</f>
        <v/>
      </c>
      <c r="D12" s="110">
        <f>SUMIFS(МП!$CG:$CG,МП!$ES:$ES,$A12)</f>
        <v/>
      </c>
      <c r="E12" s="110">
        <f>SUM(B12:D12)</f>
        <v/>
      </c>
      <c r="F12" s="110">
        <f>E12*(1+G12)</f>
        <v/>
      </c>
      <c r="G12" s="100">
        <f>IFERROR(AVERAGEIFS(МП!$CM:$CM,МП!$ES:$ES,$A12),0)</f>
        <v/>
      </c>
      <c r="H12" s="110">
        <f>SUMIFS(МП!$EE:$EE,МП!$ES:$ES,$A12)</f>
        <v/>
      </c>
      <c r="I12" s="110">
        <f>SUMIFS(МП!$EI:$EI,МП!$ES:$ES,$A12)</f>
        <v/>
      </c>
      <c r="J12" s="110">
        <f>SUMIFS(МП!$EL:$EL,МП!$ES:$ES,$A12)</f>
        <v/>
      </c>
      <c r="K12" s="110">
        <f>SUM(H12:J12)</f>
        <v/>
      </c>
      <c r="L12" s="110">
        <f>K12*(1+M12)</f>
        <v/>
      </c>
      <c r="M12" s="100">
        <f>IFERROR(AVERAGEIFS(МП!$EP:$EP,МП!$ES:$ES,$A12),0)</f>
        <v/>
      </c>
      <c r="N12" s="110">
        <f>SUMIFS(МП!$EE:$EE,МП!$ES:$ES,$A12,МП!$CV:$CV,"подтверждено")</f>
        <v/>
      </c>
      <c r="O12" s="110">
        <f>SUMIFS(МП!$EI:$EI,МП!$ES:$ES,$A12,МП!$CV:$CV,"подтверждено")</f>
        <v/>
      </c>
      <c r="P12" s="110">
        <f>SUMIFS(МП!$EL:$EL,МП!$ES:$ES,$A12,МП!$CV:$CV,"подтверждено")</f>
        <v/>
      </c>
      <c r="Q12" s="110">
        <f>SUM(N12:P12)</f>
        <v/>
      </c>
      <c r="R12" s="110">
        <f>Q12*(1+M12)</f>
        <v/>
      </c>
    </row>
    <row r="13">
      <c r="A13" s="98" t="n"/>
      <c r="B13" s="110">
        <f>SUMIFS(МП!$CC:$CC,МП!$ES:$ES,$A13)</f>
        <v/>
      </c>
      <c r="C13" s="110">
        <f>SUMIFS(МП!$CE:$CE,МП!$ES:$ES,$A13)</f>
        <v/>
      </c>
      <c r="D13" s="110">
        <f>SUMIFS(МП!$CG:$CG,МП!$ES:$ES,$A13)</f>
        <v/>
      </c>
      <c r="E13" s="110">
        <f>SUM(B13:D13)</f>
        <v/>
      </c>
      <c r="F13" s="110">
        <f>E13*(1+G13)</f>
        <v/>
      </c>
      <c r="G13" s="100">
        <f>IFERROR(AVERAGEIFS(МП!$CM:$CM,МП!$ES:$ES,$A13),0)</f>
        <v/>
      </c>
      <c r="H13" s="110">
        <f>SUMIFS(МП!$EE:$EE,МП!$ES:$ES,$A13)</f>
        <v/>
      </c>
      <c r="I13" s="110">
        <f>SUMIFS(МП!$EI:$EI,МП!$ES:$ES,$A13)</f>
        <v/>
      </c>
      <c r="J13" s="110">
        <f>SUMIFS(МП!$EL:$EL,МП!$ES:$ES,$A13)</f>
        <v/>
      </c>
      <c r="K13" s="110">
        <f>SUM(H13:J13)</f>
        <v/>
      </c>
      <c r="L13" s="110">
        <f>K13*(1+M13)</f>
        <v/>
      </c>
      <c r="M13" s="100">
        <f>IFERROR(AVERAGEIFS(МП!$EP:$EP,МП!$ES:$ES,$A13),0)</f>
        <v/>
      </c>
      <c r="N13" s="110">
        <f>SUMIFS(МП!$EE:$EE,МП!$ES:$ES,$A13,МП!$CV:$CV,"подтверждено")</f>
        <v/>
      </c>
      <c r="O13" s="110">
        <f>SUMIFS(МП!$EI:$EI,МП!$ES:$ES,$A13,МП!$CV:$CV,"подтверждено")</f>
        <v/>
      </c>
      <c r="P13" s="110">
        <f>SUMIFS(МП!$EL:$EL,МП!$ES:$ES,$A13,МП!$CV:$CV,"подтверждено")</f>
        <v/>
      </c>
      <c r="Q13" s="110">
        <f>SUM(N13:P13)</f>
        <v/>
      </c>
      <c r="R13" s="110">
        <f>Q13*(1+M13)</f>
        <v/>
      </c>
    </row>
    <row r="14">
      <c r="A14" s="98" t="n"/>
      <c r="B14" s="110">
        <f>SUMIFS(МП!$CC:$CC,МП!$ES:$ES,$A14)</f>
        <v/>
      </c>
      <c r="C14" s="110">
        <f>SUMIFS(МП!$CE:$CE,МП!$ES:$ES,$A14)</f>
        <v/>
      </c>
      <c r="D14" s="110">
        <f>SUMIFS(МП!$CG:$CG,МП!$ES:$ES,$A14)</f>
        <v/>
      </c>
      <c r="E14" s="110">
        <f>SUM(B14:D14)</f>
        <v/>
      </c>
      <c r="F14" s="110">
        <f>E14*(1+G14)</f>
        <v/>
      </c>
      <c r="G14" s="100">
        <f>IFERROR(AVERAGEIFS(МП!$CM:$CM,МП!$ES:$ES,$A14),0)</f>
        <v/>
      </c>
      <c r="H14" s="110">
        <f>SUMIFS(МП!$EE:$EE,МП!$ES:$ES,$A14)</f>
        <v/>
      </c>
      <c r="I14" s="110">
        <f>SUMIFS(МП!$EI:$EI,МП!$ES:$ES,$A14)</f>
        <v/>
      </c>
      <c r="J14" s="110">
        <f>SUMIFS(МП!$EL:$EL,МП!$ES:$ES,$A14)</f>
        <v/>
      </c>
      <c r="K14" s="110">
        <f>SUM(H14:J14)</f>
        <v/>
      </c>
      <c r="L14" s="110">
        <f>K14*(1+M14)</f>
        <v/>
      </c>
      <c r="M14" s="100">
        <f>IFERROR(AVERAGEIFS(МП!$EP:$EP,МП!$ES:$ES,$A14),0)</f>
        <v/>
      </c>
      <c r="N14" s="110">
        <f>SUMIFS(МП!$EE:$EE,МП!$ES:$ES,$A14,МП!$CV:$CV,"подтверждено")</f>
        <v/>
      </c>
      <c r="O14" s="110">
        <f>SUMIFS(МП!$EI:$EI,МП!$ES:$ES,$A14,МП!$CV:$CV,"подтверждено")</f>
        <v/>
      </c>
      <c r="P14" s="110">
        <f>SUMIFS(МП!$EL:$EL,МП!$ES:$ES,$A14,МП!$CV:$CV,"подтверждено")</f>
        <v/>
      </c>
      <c r="Q14" s="110">
        <f>SUM(N14:P14)</f>
        <v/>
      </c>
      <c r="R14" s="110">
        <f>Q14*(1+M14)</f>
        <v/>
      </c>
    </row>
    <row r="15">
      <c r="A15" s="98" t="n"/>
      <c r="B15" s="110">
        <f>SUMIFS(МП!$CC:$CC,МП!$ES:$ES,$A15)</f>
        <v/>
      </c>
      <c r="C15" s="110">
        <f>SUMIFS(МП!$CE:$CE,МП!$ES:$ES,$A15)</f>
        <v/>
      </c>
      <c r="D15" s="110">
        <f>SUMIFS(МП!$CG:$CG,МП!$ES:$ES,$A15)</f>
        <v/>
      </c>
      <c r="E15" s="110">
        <f>SUM(B15:D15)</f>
        <v/>
      </c>
      <c r="F15" s="110">
        <f>E15*(1+G15)</f>
        <v/>
      </c>
      <c r="G15" s="100">
        <f>IFERROR(AVERAGEIFS(МП!$CM:$CM,МП!$ES:$ES,$A15),0)</f>
        <v/>
      </c>
      <c r="H15" s="110">
        <f>SUMIFS(МП!$EE:$EE,МП!$ES:$ES,$A15)</f>
        <v/>
      </c>
      <c r="I15" s="110">
        <f>SUMIFS(МП!$EI:$EI,МП!$ES:$ES,$A15)</f>
        <v/>
      </c>
      <c r="J15" s="110">
        <f>SUMIFS(МП!$EL:$EL,МП!$ES:$ES,$A15)</f>
        <v/>
      </c>
      <c r="K15" s="110">
        <f>SUM(H15:J15)</f>
        <v/>
      </c>
      <c r="L15" s="110">
        <f>K15*(1+M15)</f>
        <v/>
      </c>
      <c r="M15" s="100">
        <f>IFERROR(AVERAGEIFS(МП!$EP:$EP,МП!$ES:$ES,$A15),0)</f>
        <v/>
      </c>
      <c r="N15" s="110">
        <f>SUMIFS(МП!$EE:$EE,МП!$ES:$ES,$A15,МП!$CV:$CV,"подтверждено")</f>
        <v/>
      </c>
      <c r="O15" s="110">
        <f>SUMIFS(МП!$EI:$EI,МП!$ES:$ES,$A15,МП!$CV:$CV,"подтверждено")</f>
        <v/>
      </c>
      <c r="P15" s="110">
        <f>SUMIFS(МП!$EL:$EL,МП!$ES:$ES,$A15,МП!$CV:$CV,"подтверждено")</f>
        <v/>
      </c>
      <c r="Q15" s="110">
        <f>SUM(N15:P15)</f>
        <v/>
      </c>
      <c r="R15" s="110">
        <f>Q15*(1+M15)</f>
        <v/>
      </c>
    </row>
    <row r="16">
      <c r="A16" s="98" t="n"/>
      <c r="B16" s="110">
        <f>SUMIFS(МП!$CC:$CC,МП!$ES:$ES,$A16)</f>
        <v/>
      </c>
      <c r="C16" s="110">
        <f>SUMIFS(МП!$CE:$CE,МП!$ES:$ES,$A16)</f>
        <v/>
      </c>
      <c r="D16" s="110">
        <f>SUMIFS(МП!$CG:$CG,МП!$ES:$ES,$A16)</f>
        <v/>
      </c>
      <c r="E16" s="110">
        <f>SUM(B16:D16)</f>
        <v/>
      </c>
      <c r="F16" s="110">
        <f>E16*(1+G16)</f>
        <v/>
      </c>
      <c r="G16" s="100">
        <f>IFERROR(AVERAGEIFS(МП!$CM:$CM,МП!$ES:$ES,$A16),0)</f>
        <v/>
      </c>
      <c r="H16" s="110">
        <f>SUMIFS(МП!$EE:$EE,МП!$ES:$ES,$A16)</f>
        <v/>
      </c>
      <c r="I16" s="110">
        <f>SUMIFS(МП!$EI:$EI,МП!$ES:$ES,$A16)</f>
        <v/>
      </c>
      <c r="J16" s="110">
        <f>SUMIFS(МП!$EL:$EL,МП!$ES:$ES,$A16)</f>
        <v/>
      </c>
      <c r="K16" s="110">
        <f>SUM(H16:J16)</f>
        <v/>
      </c>
      <c r="L16" s="110">
        <f>K16*(1+M16)</f>
        <v/>
      </c>
      <c r="M16" s="100">
        <f>IFERROR(AVERAGEIFS(МП!$EP:$EP,МП!$ES:$ES,$A16),0)</f>
        <v/>
      </c>
      <c r="N16" s="110">
        <f>SUMIFS(МП!$EE:$EE,МП!$ES:$ES,$A16,МП!$CV:$CV,"подтверждено")</f>
        <v/>
      </c>
      <c r="O16" s="110">
        <f>SUMIFS(МП!$EI:$EI,МП!$ES:$ES,$A16,МП!$CV:$CV,"подтверждено")</f>
        <v/>
      </c>
      <c r="P16" s="110">
        <f>SUMIFS(МП!$EL:$EL,МП!$ES:$ES,$A16,МП!$CV:$CV,"подтверждено")</f>
        <v/>
      </c>
      <c r="Q16" s="110">
        <f>SUM(N16:P16)</f>
        <v/>
      </c>
      <c r="R16" s="110">
        <f>Q16*(1+M16)</f>
        <v/>
      </c>
    </row>
    <row r="17">
      <c r="A17" s="98" t="n"/>
      <c r="B17" s="110">
        <f>SUMIFS(МП!$CC:$CC,МП!$ES:$ES,$A17)</f>
        <v/>
      </c>
      <c r="C17" s="110">
        <f>SUMIFS(МП!$CE:$CE,МП!$ES:$ES,$A17)</f>
        <v/>
      </c>
      <c r="D17" s="110">
        <f>SUMIFS(МП!$CG:$CG,МП!$ES:$ES,$A17)</f>
        <v/>
      </c>
      <c r="E17" s="110">
        <f>SUM(B17:D17)</f>
        <v/>
      </c>
      <c r="F17" s="110">
        <f>E17*(1+G17)</f>
        <v/>
      </c>
      <c r="G17" s="100">
        <f>IFERROR(AVERAGEIFS(МП!$CM:$CM,МП!$ES:$ES,$A17),0)</f>
        <v/>
      </c>
      <c r="H17" s="110">
        <f>SUMIFS(МП!$EE:$EE,МП!$ES:$ES,$A17)</f>
        <v/>
      </c>
      <c r="I17" s="110">
        <f>SUMIFS(МП!$EI:$EI,МП!$ES:$ES,$A17)</f>
        <v/>
      </c>
      <c r="J17" s="110">
        <f>SUMIFS(МП!$EL:$EL,МП!$ES:$ES,$A17)</f>
        <v/>
      </c>
      <c r="K17" s="110">
        <f>SUM(H17:J17)</f>
        <v/>
      </c>
      <c r="L17" s="110">
        <f>K17*(1+M17)</f>
        <v/>
      </c>
      <c r="M17" s="100">
        <f>IFERROR(AVERAGEIFS(МП!$EP:$EP,МП!$ES:$ES,$A17),0)</f>
        <v/>
      </c>
      <c r="N17" s="110">
        <f>SUMIFS(МП!$EE:$EE,МП!$ES:$ES,$A17,МП!$CV:$CV,"подтверждено")</f>
        <v/>
      </c>
      <c r="O17" s="110">
        <f>SUMIFS(МП!$EI:$EI,МП!$ES:$ES,$A17,МП!$CV:$CV,"подтверждено")</f>
        <v/>
      </c>
      <c r="P17" s="110">
        <f>SUMIFS(МП!$EL:$EL,МП!$ES:$ES,$A17,МП!$CV:$CV,"подтверждено")</f>
        <v/>
      </c>
      <c r="Q17" s="110">
        <f>SUM(N17:P17)</f>
        <v/>
      </c>
      <c r="R17" s="110">
        <f>Q17*(1+M17)</f>
        <v/>
      </c>
    </row>
    <row r="18">
      <c r="A18" s="98" t="n"/>
      <c r="B18" s="110">
        <f>SUMIFS(МП!$CC:$CC,МП!$ES:$ES,$A18)</f>
        <v/>
      </c>
      <c r="C18" s="110">
        <f>SUMIFS(МП!$CE:$CE,МП!$ES:$ES,$A18)</f>
        <v/>
      </c>
      <c r="D18" s="110">
        <f>SUMIFS(МП!$CG:$CG,МП!$ES:$ES,$A18)</f>
        <v/>
      </c>
      <c r="E18" s="110">
        <f>SUM(B18:D18)</f>
        <v/>
      </c>
      <c r="F18" s="110">
        <f>E18*(1+G18)</f>
        <v/>
      </c>
      <c r="G18" s="100">
        <f>IFERROR(AVERAGEIFS(МП!$CM:$CM,МП!$ES:$ES,$A18),0)</f>
        <v/>
      </c>
      <c r="H18" s="110">
        <f>SUMIFS(МП!$EE:$EE,МП!$ES:$ES,$A18)</f>
        <v/>
      </c>
      <c r="I18" s="110">
        <f>SUMIFS(МП!$EI:$EI,МП!$ES:$ES,$A18)</f>
        <v/>
      </c>
      <c r="J18" s="110">
        <f>SUMIFS(МП!$EL:$EL,МП!$ES:$ES,$A18)</f>
        <v/>
      </c>
      <c r="K18" s="110">
        <f>SUM(H18:J18)</f>
        <v/>
      </c>
      <c r="L18" s="110">
        <f>K18*(1+M18)</f>
        <v/>
      </c>
      <c r="M18" s="100">
        <f>IFERROR(AVERAGEIFS(МП!$EP:$EP,МП!$ES:$ES,$A18),0)</f>
        <v/>
      </c>
      <c r="N18" s="110">
        <f>SUMIFS(МП!$EE:$EE,МП!$ES:$ES,$A18,МП!$CV:$CV,"подтверждено")</f>
        <v/>
      </c>
      <c r="O18" s="110">
        <f>SUMIFS(МП!$EI:$EI,МП!$ES:$ES,$A18,МП!$CV:$CV,"подтверждено")</f>
        <v/>
      </c>
      <c r="P18" s="110">
        <f>SUMIFS(МП!$EL:$EL,МП!$ES:$ES,$A18,МП!$CV:$CV,"подтверждено")</f>
        <v/>
      </c>
      <c r="Q18" s="110">
        <f>SUM(N18:P18)</f>
        <v/>
      </c>
      <c r="R18" s="110">
        <f>Q18*(1+M18)</f>
        <v/>
      </c>
    </row>
  </sheetData>
  <conditionalFormatting sqref="H4:P18">
    <cfRule type="expression" priority="9" dxfId="1">
      <formula>AND(ROW(H4)=CELL("строка"),#REF!="вкл")</formula>
    </cfRule>
    <cfRule type="containsBlanks" priority="10" dxfId="0">
      <formula>LEN(TRIM(H4))=0</formula>
    </cfRule>
  </conditionalFormatting>
  <conditionalFormatting sqref="Q4:Q18">
    <cfRule type="expression" priority="7" dxfId="1">
      <formula>AND(ROW(Q4)=CELL("строка"),#REF!="вкл")</formula>
    </cfRule>
    <cfRule type="containsBlanks" priority="8" dxfId="0">
      <formula>LEN(TRIM(Q4))=0</formula>
    </cfRule>
  </conditionalFormatting>
  <conditionalFormatting sqref="G4:G18">
    <cfRule type="expression" priority="5" dxfId="1">
      <formula>AND(ROW(G4)=CELL("строка"),#REF!="вкл")</formula>
    </cfRule>
    <cfRule type="containsBlanks" priority="6" dxfId="0">
      <formula>LEN(TRIM(G4))=0</formula>
    </cfRule>
  </conditionalFormatting>
  <conditionalFormatting sqref="R4:R18">
    <cfRule type="expression" priority="3" dxfId="1">
      <formula>AND(ROW(R4)=CELL("строка"),#REF!="вкл")</formula>
    </cfRule>
    <cfRule type="containsBlanks" priority="4" dxfId="0">
      <formula>LEN(TRIM(R4))=0</formula>
    </cfRule>
  </conditionalFormatting>
  <conditionalFormatting sqref="B4:F18">
    <cfRule type="expression" priority="1" dxfId="1">
      <formula>AND(ROW(B4)=CELL("строка"),#REF!="вкл")</formula>
    </cfRule>
    <cfRule type="containsBlanks" priority="2" dxfId="0">
      <formula>LEN(TRIM(B4))=0</formula>
    </cfRule>
  </conditionalFormatting>
  <pageMargins left="0.7" right="0.7" top="0.75" bottom="0.75" header="0.3" footer="0.3"/>
</worksheet>
</file>

<file path=xl/worksheets/sheet2.xml><?xml version="1.0" encoding="utf-8"?>
<worksheet xmlns="http://schemas.openxmlformats.org/spreadsheetml/2006/main">
  <sheetPr codeName="Лист3">
    <outlinePr summaryBelow="1" summaryRight="1"/>
    <pageSetUpPr/>
  </sheetPr>
  <dimension ref="A1:FP27"/>
  <sheetViews>
    <sheetView showGridLines="0" tabSelected="1" zoomScale="70" zoomScaleNormal="70" workbookViewId="0">
      <selection activeCell="F35" sqref="F35"/>
    </sheetView>
  </sheetViews>
  <sheetFormatPr baseColWidth="8" defaultColWidth="8.7109375" defaultRowHeight="15"/>
  <cols>
    <col width="4.5703125" customWidth="1" style="23" min="1" max="1"/>
    <col outlineLevel="2" width="15.7109375" customWidth="1" style="23" min="2" max="4"/>
    <col outlineLevel="1" width="20.7109375" customWidth="1" style="23" min="5" max="6"/>
    <col outlineLevel="1" width="15.7109375" customWidth="1" style="23" min="7" max="7"/>
    <col hidden="1" outlineLevel="2" width="15.7109375" customWidth="1" style="23" min="8" max="9"/>
    <col outlineLevel="1" collapsed="1" width="15.7109375" customWidth="1" style="23" min="10" max="10"/>
    <col outlineLevel="1" width="15.7109375" customWidth="1" style="23" min="11" max="12"/>
    <col outlineLevel="1" width="15.7109375" customWidth="1" style="28" min="13" max="13"/>
    <col hidden="1" outlineLevel="2" width="15.7109375" customWidth="1" style="28" min="14" max="15"/>
    <col hidden="1" outlineLevel="2" collapsed="1" width="12.7109375" customWidth="1" style="23" min="16" max="16"/>
    <col outlineLevel="1" collapsed="1" width="12.7109375" customWidth="1" style="28" min="17" max="17"/>
    <col outlineLevel="1" width="12.7109375" customWidth="1" style="28" min="18" max="18"/>
    <col hidden="1" outlineLevel="2" width="13.7109375" customWidth="1" style="23" min="19" max="19"/>
    <col hidden="1" outlineLevel="2" width="13.7109375" customWidth="1" style="28" min="20" max="20"/>
    <col outlineLevel="1" collapsed="1" width="13.7109375" customWidth="1" style="28" min="21" max="21"/>
    <col outlineLevel="1" width="12.7109375" customWidth="1" style="28" min="22" max="22"/>
    <col outlineLevel="1" width="12.7109375" customWidth="1" style="23" min="23" max="23"/>
    <col outlineLevel="2" width="12.7109375" customWidth="1" style="23" min="24" max="25"/>
    <col outlineLevel="2" width="8.7109375" customWidth="1" style="29" min="26" max="27"/>
    <col outlineLevel="1" width="8.7109375" customWidth="1" style="23" min="28" max="35"/>
    <col hidden="1" outlineLevel="2" width="8.7109375" customWidth="1" style="23" min="36" max="37"/>
    <col hidden="1" outlineLevel="2" width="8.7109375" customWidth="1" style="30" min="38" max="39"/>
    <col hidden="1" outlineLevel="2" width="8.7109375" customWidth="1" style="23" min="40" max="41"/>
    <col hidden="1" outlineLevel="2" width="8.7109375" customWidth="1" style="30" min="42" max="42"/>
    <col hidden="1" outlineLevel="2" width="12.7109375" customWidth="1" style="31" min="43" max="43"/>
    <col hidden="1" outlineLevel="2" width="12.7109375" customWidth="1" style="29" min="44" max="44"/>
    <col hidden="1" outlineLevel="2" width="12.7109375" customWidth="1" style="30" min="45" max="46"/>
    <col hidden="1" outlineLevel="2" width="12.7109375" customWidth="1" style="32" min="47" max="47"/>
    <col hidden="1" outlineLevel="2" width="12.7109375" customWidth="1" style="30" min="48" max="48"/>
    <col width="12.7109375" customWidth="1" style="23" min="49" max="51"/>
    <col outlineLevel="1" width="4.5703125" customWidth="1" style="23" min="52" max="63"/>
    <col outlineLevel="1" width="4.5703125" customWidth="1" style="30" min="64" max="64"/>
    <col width="15.7109375" customWidth="1" style="30" min="65" max="65"/>
    <col outlineLevel="1" width="25.7109375" customWidth="1" style="111" min="66" max="66"/>
    <col outlineLevel="1" width="12.5703125" customWidth="1" style="23" min="67" max="67"/>
    <col outlineLevel="1" width="20.7109375" customWidth="1" style="23" min="68" max="68"/>
    <col outlineLevel="1" width="15.7109375" customWidth="1" style="23" min="69" max="81"/>
    <col outlineLevel="2" width="25.7109375" customWidth="1" style="34" min="82" max="87"/>
    <col outlineLevel="2" width="10.5703125" customWidth="1" style="34" min="88" max="88"/>
    <col outlineLevel="1" width="25.7109375" customWidth="1" style="34" min="89" max="90"/>
    <col outlineLevel="1" width="12.7109375" customWidth="1" style="35" min="91" max="91"/>
    <col outlineLevel="1" width="15.5703125" customWidth="1" style="35" min="92" max="92"/>
    <col width="15.7109375" customWidth="1" style="28" min="93" max="93"/>
    <col width="8.7109375" customWidth="1" style="23" min="94" max="94"/>
    <col width="15.7109375" customWidth="1" style="28" min="95" max="98"/>
    <col width="3.5703125" customWidth="1" style="79" min="99" max="99"/>
    <col outlineLevel="1" width="15.7109375" customWidth="1" min="100" max="100"/>
    <col hidden="1" outlineLevel="2" width="15.7109375" customWidth="1" style="35" min="101" max="101"/>
    <col hidden="1" outlineLevel="2" width="15.7109375" customWidth="1" style="36" min="102" max="102"/>
    <col outlineLevel="1" collapsed="1" width="15.5703125" customWidth="1" min="103" max="103"/>
    <col outlineLevel="1" width="15.5703125" customWidth="1" min="104" max="106"/>
    <col outlineLevel="2" width="12.7109375" customWidth="1" style="23" min="107" max="107"/>
    <col outlineLevel="2" width="25.7109375" customWidth="1" style="34" min="108" max="108"/>
    <col outlineLevel="2" collapsed="1" width="12.7109375" customWidth="1" style="34" min="109" max="109"/>
    <col outlineLevel="2" width="12.7109375" customWidth="1" style="34" min="110" max="110"/>
    <col outlineLevel="2" width="25.7109375" customWidth="1" style="34" min="111" max="111"/>
    <col outlineLevel="2" width="12.7109375" customWidth="1" style="23" min="112" max="112"/>
    <col outlineLevel="2" width="25.7109375" customWidth="1" style="23" min="113" max="113"/>
    <col outlineLevel="1" width="25.7109375" customWidth="1" style="111" min="114" max="114"/>
    <col outlineLevel="2" width="10.5703125" customWidth="1" style="111" min="115" max="115"/>
    <col outlineLevel="2" width="12.5703125" customWidth="1" style="23" min="116" max="120"/>
    <col outlineLevel="1" width="12.5703125" customWidth="1" style="23" min="121" max="121"/>
    <col outlineLevel="1" width="20.7109375" customWidth="1" style="23" min="122" max="122"/>
    <col outlineLevel="1" width="15.7109375" customWidth="1" style="23" min="123" max="136"/>
    <col hidden="1" outlineLevel="2" width="10.7109375" customWidth="1" style="23" min="137" max="137"/>
    <col hidden="1" outlineLevel="2" width="25.7109375" customWidth="1" style="34" min="138" max="143"/>
    <col outlineLevel="1" collapsed="1" width="25.7109375" customWidth="1" style="34" min="144" max="144"/>
    <col outlineLevel="1" width="25.7109375" customWidth="1" style="34" min="145" max="145"/>
    <col outlineLevel="1" width="12.7109375" customWidth="1" style="35" min="146" max="146"/>
    <col outlineLevel="1" width="15.5703125" customWidth="1" style="35" min="147" max="147"/>
    <col outlineLevel="1" width="15.7109375" customWidth="1" style="28" min="148" max="152"/>
    <col width="25.85546875" customWidth="1" style="23" min="154" max="154"/>
    <col width="15.7109375" customWidth="1" style="23" min="155" max="155"/>
    <col width="18.5703125" customWidth="1" style="23" min="156" max="162"/>
    <col width="8.7109375" customWidth="1" style="23" min="163" max="16384"/>
  </cols>
  <sheetData>
    <row r="1">
      <c r="M1" s="23" t="n"/>
      <c r="DJ1" s="112">
        <f>IFERROR(
IF(#REF!="NovikovTV | НовиковТВ",IF(SUMIFS($DI:$DI,$ES:$ES,"NovikovTV | НовиковТВ")&lt;280000,
(SUMIFS($DI:$DI,$ES:$ES,"NovikovTV | НовиковТВ")/
(COUNTIFS($ES:$ES,"NovikovTV | НовиковТВ")))*280000/
SUMIFS($DI:$DI,$ES:$ES,"NovikovTV | НовиковТВ")),0)+#REF!/(
1-(1-(
IF(#REF!="NovikovTV | НовиковТВ",IF(SUMIFS($DI:$DI,$ES:$ES,"NovikovTV | НовиковТВ")&lt;280000,
(SUMIFS($DI:$DI,$ES:$ES,"NovikovTV | НовиковТВ")/
(COUNTIFS($ES:$ES,"NovikovTV | НовиковТВ")))*280000/
SUMIFS($DI:$DI,$ES:$ES,"NovikovTV | НовиковТВ")),0))*
(1-#REF!)*(1-#REF!)*(1-#REF!)*(1-#REF!)*(1-#REF!)/
IF(#REF!="NovikovTV | НовиковТВ",IF(SUMIFS($DI:$DI,$ES:$ES,"NovikovTV | НовиковТВ")&lt;280000,
(SUMIFS($DI:$DI,$ES:$ES,"NovikovTV | НовиковТВ")/
(COUNTIFS($ES:$ES,"NovikovTV | НовиковТВ")))*280000/
SUMIFS($DI:$DI,$ES:$ES,"NovikovTV | НовиковТВ")),0))),0)</f>
        <v/>
      </c>
      <c r="EX1" s="78" t="n"/>
      <c r="EY1" s="78" t="n"/>
      <c r="EZ1" s="78" t="n"/>
      <c r="FA1" s="78" t="n"/>
      <c r="FB1" s="78" t="n"/>
      <c r="FC1" s="78" t="n"/>
      <c r="FD1" s="78" t="n"/>
      <c r="FE1" s="78" t="n"/>
      <c r="FF1" s="78" t="n"/>
      <c r="FG1" s="78" t="n"/>
      <c r="FH1" s="78" t="n"/>
      <c r="FI1" s="78" t="n"/>
      <c r="FJ1" s="78" t="n"/>
      <c r="FK1" s="78" t="n"/>
      <c r="FL1" s="78" t="n"/>
      <c r="FM1" s="78" t="n"/>
      <c r="FN1" s="78" t="n"/>
      <c r="FO1" s="78" t="n"/>
      <c r="FP1" s="78" t="n"/>
    </row>
    <row r="2">
      <c r="M2" s="38" t="inlineStr">
        <is>
          <t>ПРИМЕЧАНИЕ:</t>
        </is>
      </c>
      <c r="N2" s="23" t="n"/>
      <c r="O2" s="38" t="n"/>
      <c r="Q2" s="23" t="n"/>
      <c r="R2" s="23" t="n"/>
      <c r="U2" s="23" t="n"/>
      <c r="V2" s="23" t="n"/>
      <c r="EX2" s="78" t="n"/>
      <c r="EY2" s="78" t="n"/>
      <c r="EZ2" s="78" t="n"/>
      <c r="FA2" s="78" t="n"/>
      <c r="FB2" s="78" t="n"/>
      <c r="FC2" s="78" t="n"/>
      <c r="FD2" s="78" t="n"/>
      <c r="FE2" s="78" t="n"/>
      <c r="FF2" s="78" t="n"/>
      <c r="FG2" s="78" t="n"/>
      <c r="FH2" s="78" t="n"/>
      <c r="FI2" s="78" t="n"/>
      <c r="FJ2" s="78" t="n"/>
      <c r="FK2" s="78" t="n"/>
      <c r="FL2" s="78" t="n"/>
      <c r="FM2" s="78" t="n"/>
      <c r="FN2" s="78" t="n"/>
      <c r="FO2" s="78" t="n"/>
      <c r="FP2" s="78" t="n"/>
    </row>
    <row r="3">
      <c r="M3" s="39" t="inlineStr">
        <is>
          <t>1. Условия актуальны при наличии свободных мест, в течение 7 календарных дней после выставления настоящего предложения (далее по тексту - КП). Резервирование осуществляется по запросу.</t>
        </is>
      </c>
      <c r="N3" s="23" t="n"/>
      <c r="O3" s="39" t="n"/>
      <c r="Q3" s="23" t="n"/>
      <c r="R3" s="23" t="n"/>
      <c r="U3" s="23" t="n"/>
      <c r="V3" s="23" t="n"/>
      <c r="Z3" s="40" t="n"/>
      <c r="DK3" s="41" t="n"/>
      <c r="DL3" s="111" t="n"/>
      <c r="DR3" s="111" t="n"/>
      <c r="EX3" s="78" t="n"/>
      <c r="EY3" s="78" t="n"/>
      <c r="EZ3" s="78" t="n"/>
      <c r="FA3" s="78" t="n"/>
      <c r="FB3" s="78" t="n"/>
      <c r="FC3" s="78" t="n"/>
      <c r="FD3" s="78" t="n"/>
      <c r="FE3" s="78" t="n"/>
      <c r="FF3" s="78" t="n"/>
      <c r="FG3" s="78" t="n"/>
      <c r="FH3" s="78" t="n"/>
      <c r="FI3" s="78" t="n"/>
      <c r="FJ3" s="78" t="n"/>
      <c r="FK3" s="78" t="n"/>
      <c r="FL3" s="78" t="n"/>
      <c r="FM3" s="78" t="n"/>
      <c r="FN3" s="78" t="n"/>
      <c r="FO3" s="78" t="n"/>
      <c r="FP3" s="78" t="n"/>
    </row>
    <row r="4">
      <c r="E4" s="7" t="inlineStr">
        <is>
          <t>Заказчик:</t>
        </is>
      </c>
      <c r="F4" s="8" t="n"/>
      <c r="K4" s="23" t="inlineStr">
        <is>
          <t> </t>
        </is>
      </c>
      <c r="M4" s="39" t="inlineStr">
        <is>
          <t>2. Условия актуальны в рамках расчетного периода, объема и указанных характеристик. В случае изменения параметров условия подлежат пересмотру.</t>
        </is>
      </c>
      <c r="N4" s="23" t="n"/>
      <c r="O4" s="39" t="n"/>
      <c r="Q4" s="23" t="n"/>
      <c r="R4" s="23" t="n"/>
      <c r="U4" s="23" t="n"/>
      <c r="V4" s="23" t="n"/>
      <c r="Z4" s="40" t="n"/>
      <c r="AW4" s="30" t="n"/>
      <c r="AX4" s="30" t="n"/>
      <c r="CD4" s="23" t="n"/>
      <c r="CE4" s="23" t="n"/>
      <c r="CF4" s="23" t="n"/>
      <c r="CG4" s="23" t="n"/>
      <c r="CH4" s="23" t="n"/>
      <c r="CI4" s="23" t="n"/>
      <c r="CJ4" s="23" t="n"/>
      <c r="CK4" s="23" t="n"/>
      <c r="CL4" s="23" t="n"/>
      <c r="CV4" s="23" t="n"/>
      <c r="CW4" s="23" t="n"/>
      <c r="CX4" s="28" t="n"/>
      <c r="CY4" s="23" t="n"/>
      <c r="CZ4" s="23" t="n"/>
      <c r="DA4" s="23" t="n"/>
      <c r="DB4" s="23" t="n"/>
      <c r="DD4" s="23" t="n"/>
      <c r="DE4" s="23" t="n"/>
      <c r="DG4" s="23" t="n"/>
      <c r="EH4" s="23" t="n"/>
      <c r="EI4" s="23" t="n"/>
      <c r="EJ4" s="23" t="n"/>
      <c r="EK4" s="23" t="n"/>
      <c r="EL4" s="23" t="n"/>
      <c r="EM4" s="23" t="n"/>
      <c r="EN4" s="23" t="n"/>
      <c r="EO4" s="23" t="n"/>
      <c r="EX4" s="78" t="n"/>
      <c r="EY4" s="78" t="n"/>
      <c r="EZ4" s="78" t="n"/>
      <c r="FA4" s="78" t="n"/>
      <c r="FB4" s="78" t="n"/>
      <c r="FC4" s="78" t="n"/>
      <c r="FD4" s="78" t="n"/>
      <c r="FE4" s="78" t="n"/>
      <c r="FF4" s="78" t="n"/>
      <c r="FG4" s="78" t="n"/>
      <c r="FH4" s="78" t="n"/>
      <c r="FI4" s="78" t="n"/>
      <c r="FJ4" s="78" t="n"/>
      <c r="FK4" s="78" t="n"/>
      <c r="FL4" s="78" t="n"/>
      <c r="FM4" s="78" t="n"/>
      <c r="FN4" s="78" t="n"/>
      <c r="FO4" s="78" t="n"/>
      <c r="FP4" s="78" t="n"/>
    </row>
    <row r="5">
      <c r="E5" s="7" t="inlineStr">
        <is>
          <t>ГЕО/привязка:</t>
        </is>
      </c>
      <c r="F5" s="8" t="n"/>
      <c r="J5" s="23" t="inlineStr">
        <is>
          <t> </t>
        </is>
      </c>
      <c r="M5" s="39" t="inlineStr">
        <is>
          <t xml:space="preserve">3. Условия предоставлены под указанного заказчика и бренд, без эксклюзива по товарной категории. При изменении заказчика и бренда, или проведения тендера по выбранной адресной программе, без предварительного уведомления, указанные условия будут отозваны и пересмотрены. </t>
        </is>
      </c>
      <c r="N5" s="23" t="n"/>
      <c r="O5" s="39" t="n"/>
      <c r="Q5" s="23" t="n"/>
      <c r="R5" s="23" t="n"/>
      <c r="U5" s="23" t="n"/>
      <c r="V5" s="23" t="n"/>
      <c r="Z5" s="40" t="n"/>
      <c r="CR5" s="28" t="inlineStr">
        <is>
          <t> </t>
        </is>
      </c>
      <c r="CY5" t="inlineStr">
        <is>
          <t> </t>
        </is>
      </c>
      <c r="DU5" s="23" t="inlineStr">
        <is>
          <t> </t>
        </is>
      </c>
      <c r="EX5" s="78" t="n"/>
      <c r="EY5" s="78" t="n"/>
      <c r="EZ5" s="78" t="n"/>
      <c r="FA5" s="78" t="n"/>
      <c r="FB5" s="78" t="n"/>
      <c r="FC5" s="78" t="n"/>
      <c r="FD5" s="78" t="n"/>
      <c r="FE5" s="78" t="n"/>
      <c r="FF5" s="78" t="n"/>
      <c r="FG5" s="78" t="n"/>
      <c r="FH5" s="78" t="n"/>
      <c r="FI5" s="78" t="n"/>
      <c r="FJ5" s="78" t="n"/>
      <c r="FK5" s="78" t="n"/>
      <c r="FL5" s="78" t="n"/>
      <c r="FM5" s="78" t="n"/>
      <c r="FN5" s="78" t="n"/>
      <c r="FO5" s="78" t="n"/>
      <c r="FP5" s="78" t="n"/>
    </row>
    <row r="6">
      <c r="E6" s="7" t="inlineStr">
        <is>
          <t>Период:</t>
        </is>
      </c>
      <c r="F6" s="8">
        <f t="array" ref="F6">
IFERROR(
_xlfn.IFS(
SUBTOTAL(9,AW:AW)=0,"",
SUBTOTAL(9,AX:AX)=0,"",
SUBTOTAL(9,AW:AW)+SUBTOTAL(9,AX:AX)=0,"",
SUBTOTAL(9,AW:AW)+SUBTOTAL(9,AX:AX)&lt;&gt;0,
CONCATENATE(TEXT(MIN(AW:AW),"ДД.ММ.ГГГГ"),"-",TEXT(MAX(AX:AX),"ДД.ММ.ГГГГ"))),"")</f>
        <v/>
      </c>
      <c r="M6" s="39" t="inlineStr">
        <is>
          <t>4. Производство макетов РИМ осуществляется собственными силами заказчика и не включено в настоящее предложение, если иное не указано в КП.</t>
        </is>
      </c>
      <c r="N6" s="23" t="n"/>
      <c r="O6" s="39" t="n"/>
      <c r="Q6" s="23" t="n"/>
      <c r="R6" s="23" t="n"/>
      <c r="U6" s="23" t="n"/>
      <c r="V6" s="23" t="n"/>
      <c r="Z6" s="40" t="n"/>
      <c r="BL6" s="23" t="n"/>
      <c r="BM6" s="23" t="n"/>
      <c r="DL6" s="19" t="n"/>
      <c r="DM6" s="44" t="inlineStr">
        <is>
          <t>_- агентская скидка (для РА)</t>
        </is>
      </c>
      <c r="EI6" s="34" t="inlineStr">
        <is>
          <t> </t>
        </is>
      </c>
      <c r="EX6" s="78" t="n"/>
      <c r="EY6" s="78" t="n"/>
      <c r="EZ6" s="78" t="n"/>
      <c r="FA6" s="78" t="n"/>
      <c r="FB6" s="78" t="n"/>
      <c r="FC6" s="78" t="n"/>
      <c r="FD6" s="78" t="n"/>
      <c r="FE6" s="78" t="n"/>
      <c r="FF6" s="78" t="n"/>
      <c r="FG6" s="78" t="n"/>
      <c r="FH6" s="78" t="n"/>
      <c r="FI6" s="78" t="n"/>
      <c r="FJ6" s="78" t="n"/>
      <c r="FK6" s="78" t="n"/>
      <c r="FL6" s="78" t="n"/>
      <c r="FM6" s="78" t="n"/>
      <c r="FN6" s="78" t="n"/>
      <c r="FO6" s="78" t="n"/>
      <c r="FP6" s="78" t="n"/>
    </row>
    <row r="7">
      <c r="E7" s="7" t="inlineStr">
        <is>
          <t>Формат:</t>
        </is>
      </c>
      <c r="F7" s="8" t="n"/>
      <c r="M7" s="39" t="inlineStr">
        <is>
          <t>5. Обозначение NET соответствует условиям "без НДС", обозначение GROSS соответствует условиям "в том числе НДС".</t>
        </is>
      </c>
      <c r="N7" s="23" t="n"/>
      <c r="O7" s="39" t="n"/>
      <c r="Q7" s="23" t="n"/>
      <c r="R7" s="23" t="n"/>
      <c r="U7" s="23" t="n"/>
      <c r="V7" s="23" t="n"/>
      <c r="AG7" s="23" t="inlineStr">
        <is>
          <t> </t>
        </is>
      </c>
      <c r="BL7" s="23" t="n"/>
      <c r="BM7" s="23" t="n"/>
      <c r="CQ7" s="28" t="inlineStr">
        <is>
          <t> </t>
        </is>
      </c>
      <c r="CR7" s="28" t="inlineStr">
        <is>
          <t> </t>
        </is>
      </c>
      <c r="DD7" s="113" t="n"/>
      <c r="DI7" s="23" t="inlineStr">
        <is>
          <t> </t>
        </is>
      </c>
      <c r="DL7" s="106" t="n"/>
      <c r="DM7" s="44" t="inlineStr">
        <is>
          <t>_- скидка за период</t>
        </is>
      </c>
      <c r="DT7" s="23" t="inlineStr">
        <is>
          <t> </t>
        </is>
      </c>
      <c r="EX7" s="78" t="n"/>
      <c r="EY7" s="78" t="n"/>
      <c r="EZ7" s="78" t="n"/>
      <c r="FA7" s="78" t="n"/>
      <c r="FB7" s="78" t="n"/>
      <c r="FC7" s="78" t="n"/>
      <c r="FD7" s="78" t="n"/>
      <c r="FE7" s="78" t="n"/>
      <c r="FF7" s="78" t="n"/>
      <c r="FG7" s="78" t="n"/>
      <c r="FH7" s="78" t="n"/>
      <c r="FI7" s="78" t="n"/>
      <c r="FJ7" s="78" t="n"/>
      <c r="FK7" s="78" t="n"/>
      <c r="FL7" s="78" t="n"/>
      <c r="FM7" s="78" t="n"/>
      <c r="FN7" s="78" t="n"/>
      <c r="FO7" s="78" t="n"/>
      <c r="FP7" s="78" t="n"/>
    </row>
    <row r="8">
      <c r="B8" s="24" t="n"/>
      <c r="C8" s="24" t="n"/>
      <c r="D8" s="24" t="n"/>
      <c r="E8" s="26" t="inlineStr">
        <is>
          <t>ПОДСВЕТКА:</t>
        </is>
      </c>
      <c r="F8" s="6" t="inlineStr">
        <is>
          <t>ВКЛ</t>
        </is>
      </c>
      <c r="J8" s="23" t="inlineStr">
        <is>
          <t> </t>
        </is>
      </c>
      <c r="M8" s="39" t="inlineStr">
        <is>
          <t>6. Поставщик оставляет за собой право отказать в размещении рекламы без объяснения причин.</t>
        </is>
      </c>
      <c r="N8" s="23" t="n"/>
      <c r="O8" s="39" t="n"/>
      <c r="Q8" s="23" t="n"/>
      <c r="R8" s="23" t="n"/>
      <c r="U8" s="23" t="n"/>
      <c r="V8" s="23" t="n"/>
      <c r="AV8" s="30" t="inlineStr">
        <is>
          <t> </t>
        </is>
      </c>
      <c r="BL8" s="23" t="n"/>
      <c r="BM8" s="23" t="n"/>
      <c r="BN8" s="23" t="n"/>
      <c r="DD8" s="113" t="n"/>
      <c r="DG8" s="113" t="n"/>
      <c r="DI8" s="111" t="n"/>
      <c r="DL8" s="107" t="n"/>
      <c r="DM8" s="44" t="inlineStr">
        <is>
          <t>_- скидка за объем</t>
        </is>
      </c>
      <c r="DQ8" s="23" t="inlineStr">
        <is>
          <t> </t>
        </is>
      </c>
      <c r="EX8" s="78" t="n"/>
      <c r="EY8" s="78" t="n"/>
      <c r="EZ8" s="78" t="n"/>
      <c r="FA8" s="78" t="n"/>
      <c r="FB8" s="78" t="n"/>
      <c r="FC8" s="78" t="n"/>
      <c r="FD8" s="78" t="n"/>
      <c r="FE8" s="78" t="n"/>
      <c r="FF8" s="78" t="n"/>
      <c r="FG8" s="78" t="n"/>
      <c r="FH8" s="78" t="n"/>
      <c r="FI8" s="78" t="n"/>
      <c r="FJ8" s="78" t="n"/>
      <c r="FK8" s="78" t="n"/>
      <c r="FL8" s="78" t="n"/>
      <c r="FM8" s="78" t="n"/>
      <c r="FN8" s="78" t="n"/>
      <c r="FO8" s="78" t="n"/>
      <c r="FP8" s="78" t="n"/>
    </row>
    <row r="9">
      <c r="B9" s="24" t="n"/>
      <c r="C9" s="24" t="n"/>
      <c r="D9" s="24" t="n"/>
      <c r="G9" s="24" t="n"/>
      <c r="I9" s="24" t="n"/>
      <c r="J9" s="24" t="inlineStr">
        <is>
          <t> </t>
        </is>
      </c>
      <c r="K9" s="24" t="n"/>
      <c r="M9" s="39" t="inlineStr">
        <is>
          <t>7. Адреса, кол-во точек распространения/вещания, кол-во РН на момент финального подтверждения могут быть скорректированы.</t>
        </is>
      </c>
      <c r="N9" s="23" t="n"/>
      <c r="O9" s="39" t="n"/>
      <c r="Q9" s="23" t="n"/>
      <c r="R9" s="23" t="n"/>
      <c r="U9" s="23" t="n"/>
      <c r="V9" s="23" t="n"/>
      <c r="AY9" s="30" t="n"/>
      <c r="BL9" s="23" t="n"/>
      <c r="BM9" s="23" t="n"/>
      <c r="BN9" s="23" t="n"/>
      <c r="CD9" s="23" t="n"/>
      <c r="CE9" s="23" t="n"/>
      <c r="CF9" s="23" t="n"/>
      <c r="CG9" s="23" t="n"/>
      <c r="CH9" s="23" t="n"/>
      <c r="CI9" s="23" t="n"/>
      <c r="CJ9" s="23" t="n"/>
      <c r="CK9" s="23" t="n"/>
      <c r="CL9" s="23" t="n"/>
      <c r="CP9" s="23" t="inlineStr">
        <is>
          <t> </t>
        </is>
      </c>
      <c r="DD9" s="23" t="n"/>
      <c r="DE9" s="23" t="n"/>
      <c r="DF9" s="23" t="n"/>
      <c r="DG9" s="23" t="n"/>
      <c r="DK9" s="23" t="n"/>
      <c r="DL9" s="105" t="n"/>
      <c r="DM9" s="44" t="inlineStr">
        <is>
          <t>_- welcom скидка</t>
        </is>
      </c>
      <c r="DR9" s="111" t="n"/>
      <c r="DS9" s="30" t="n"/>
      <c r="DT9" s="30" t="n"/>
      <c r="DU9" s="30" t="n"/>
      <c r="DV9" s="30" t="n"/>
      <c r="DW9" s="30" t="n"/>
      <c r="DX9" s="30" t="n"/>
      <c r="DY9" s="30" t="n"/>
      <c r="DZ9" s="30" t="n"/>
      <c r="EA9" s="30" t="n"/>
      <c r="EB9" s="30" t="n"/>
      <c r="EC9" s="30" t="n"/>
      <c r="ED9" s="30" t="n"/>
      <c r="EF9" s="111" t="n"/>
      <c r="EH9" s="23" t="n"/>
      <c r="EI9" s="23" t="n"/>
      <c r="EJ9" s="23" t="n"/>
      <c r="EK9" s="23" t="n"/>
      <c r="EL9" s="23" t="n"/>
      <c r="EM9" s="23" t="n"/>
      <c r="EN9" s="23" t="n"/>
      <c r="EO9" s="23" t="n"/>
      <c r="EV9" s="28" t="inlineStr">
        <is>
          <t> </t>
        </is>
      </c>
      <c r="EX9" s="78" t="n"/>
      <c r="EY9" s="78" t="n"/>
      <c r="EZ9" s="78" t="n"/>
      <c r="FA9" s="78" t="n"/>
      <c r="FB9" s="78" t="n"/>
      <c r="FC9" s="78" t="n"/>
      <c r="FD9" s="78" t="n"/>
      <c r="FE9" s="78" t="n"/>
      <c r="FF9" s="78" t="n"/>
      <c r="FG9" s="78" t="n"/>
      <c r="FH9" s="78" t="n"/>
      <c r="FI9" s="78" t="n"/>
      <c r="FJ9" s="78" t="n"/>
      <c r="FK9" s="78" t="n"/>
      <c r="FL9" s="78" t="n"/>
      <c r="FM9" s="78" t="n"/>
      <c r="FN9" s="78" t="n"/>
      <c r="FO9" s="78" t="n"/>
      <c r="FP9" s="78" t="n"/>
    </row>
    <row r="10">
      <c r="B10" s="24" t="n"/>
      <c r="C10" s="24" t="n"/>
      <c r="D10" s="24" t="n"/>
      <c r="E10" s="101" t="inlineStr">
        <is>
          <t>Предложение действует до:</t>
        </is>
      </c>
      <c r="F10" s="102">
        <f>TODAY()+6</f>
        <v/>
      </c>
      <c r="G10" s="24" t="n"/>
      <c r="I10" s="24" t="n"/>
      <c r="J10" s="24" t="n"/>
      <c r="K10" s="24" t="n"/>
      <c r="M10" s="39" t="inlineStr">
        <is>
          <t>8. Не является публичной офертой.</t>
        </is>
      </c>
      <c r="O10" s="39" t="n"/>
      <c r="AH10" s="23" t="inlineStr">
        <is>
          <t> </t>
        </is>
      </c>
      <c r="DI10" s="111" t="n"/>
      <c r="DL10" s="104" t="n"/>
      <c r="DM10" s="44" t="inlineStr">
        <is>
          <t>_- спец. скидка</t>
        </is>
      </c>
      <c r="ER10" s="28" t="inlineStr">
        <is>
          <t> </t>
        </is>
      </c>
      <c r="EX10" s="78" t="n"/>
      <c r="EY10" s="78" t="n"/>
      <c r="EZ10" s="78" t="n"/>
      <c r="FA10" s="78" t="n"/>
      <c r="FB10" s="78" t="n"/>
      <c r="FC10" s="78" t="n"/>
      <c r="FD10" s="78" t="n"/>
      <c r="FE10" s="78" t="n"/>
      <c r="FF10" s="78" t="n"/>
      <c r="FG10" s="78" t="n"/>
      <c r="FH10" s="78" t="n"/>
      <c r="FI10" s="78" t="n"/>
      <c r="FJ10" s="78" t="n"/>
      <c r="FK10" s="78" t="n"/>
      <c r="FL10" s="78" t="n"/>
      <c r="FM10" s="78" t="n"/>
      <c r="FN10" s="78" t="n"/>
      <c r="FO10" s="78" t="n"/>
      <c r="FP10" s="78" t="n"/>
    </row>
    <row r="11">
      <c r="B11" s="24" t="n"/>
      <c r="C11" s="24" t="n"/>
      <c r="D11" s="24" t="n"/>
      <c r="F11" s="114" t="n"/>
      <c r="G11" s="24" t="n"/>
      <c r="H11" s="24" t="n"/>
      <c r="I11" s="24" t="n"/>
      <c r="J11" s="24" t="n"/>
      <c r="K11" s="24" t="n"/>
      <c r="L11" s="115" t="n"/>
      <c r="N11" s="115" t="n"/>
      <c r="O11" s="39" t="n"/>
      <c r="P11" s="115" t="n"/>
      <c r="Q11" s="115" t="n"/>
      <c r="R11" s="115" t="n"/>
      <c r="S11" s="115" t="n"/>
      <c r="T11" s="116" t="n"/>
      <c r="U11" s="115" t="n"/>
      <c r="V11" s="115" t="n"/>
      <c r="W11" s="115" t="n"/>
      <c r="X11" s="115" t="n"/>
      <c r="Y11" s="115" t="n"/>
      <c r="AX11" s="23" t="inlineStr">
        <is>
          <t> </t>
        </is>
      </c>
      <c r="BQ11" s="111" t="n"/>
      <c r="CM11" s="23" t="n"/>
      <c r="CN11" s="23" t="n"/>
      <c r="DR11" s="111" t="n"/>
      <c r="DS11" s="111" t="n"/>
      <c r="DU11" s="111" t="n"/>
      <c r="DV11" s="111" t="n"/>
      <c r="DW11" s="111" t="n"/>
      <c r="DX11" s="111" t="n"/>
      <c r="DY11" s="111" t="n"/>
      <c r="EP11" s="23" t="n"/>
      <c r="EQ11" s="23" t="n"/>
      <c r="EX11" s="78" t="n"/>
      <c r="EY11" s="78" t="n"/>
      <c r="EZ11" s="78" t="n"/>
      <c r="FA11" s="78" t="n"/>
      <c r="FB11" s="78" t="n"/>
      <c r="FC11" s="78" t="n"/>
      <c r="FD11" s="78" t="n"/>
      <c r="FE11" s="78" t="n"/>
      <c r="FF11" s="78" t="n"/>
      <c r="FG11" s="78" t="n"/>
      <c r="FH11" s="78" t="n"/>
      <c r="FI11" s="78" t="n"/>
      <c r="FJ11" s="78" t="n"/>
      <c r="FK11" s="78" t="n"/>
      <c r="FL11" s="78" t="n"/>
      <c r="FM11" s="78" t="n"/>
      <c r="FN11" s="78" t="n"/>
      <c r="FO11" s="78" t="n"/>
      <c r="FP11" s="78" t="n"/>
    </row>
    <row r="12">
      <c r="B12" s="24" t="n"/>
      <c r="C12" s="24" t="n"/>
      <c r="D12" s="24" t="n"/>
      <c r="G12" s="24" t="n"/>
      <c r="H12" s="24" t="n"/>
      <c r="I12" s="24" t="n"/>
      <c r="J12" s="24" t="n"/>
      <c r="K12" s="24" t="n"/>
      <c r="O12" s="39" t="n"/>
      <c r="X12" s="23">
        <f>SUBTOTAL(9,AW:AW)+SUBTOTAL(9,AX:AX)</f>
        <v/>
      </c>
      <c r="AO12" s="23" t="inlineStr">
        <is>
          <t> </t>
        </is>
      </c>
      <c r="AY12" s="34" t="n"/>
      <c r="BL12" s="47" t="n"/>
      <c r="BM12" s="47" t="n"/>
      <c r="BN12" s="86" t="inlineStr">
        <is>
          <t>КЛИЕНТ</t>
        </is>
      </c>
      <c r="BO12" s="87" t="n"/>
      <c r="BP12" s="87" t="n"/>
      <c r="BQ12" s="87" t="n"/>
      <c r="BR12" s="87" t="n"/>
      <c r="BS12" s="87" t="n"/>
      <c r="BT12" s="87" t="n"/>
      <c r="BU12" s="87" t="n"/>
      <c r="BV12" s="87" t="n"/>
      <c r="BW12" s="87" t="n"/>
      <c r="BX12" s="87" t="n"/>
      <c r="BY12" s="87" t="n"/>
      <c r="BZ12" s="87" t="n"/>
      <c r="CA12" s="87" t="n"/>
      <c r="CB12" s="87" t="n"/>
      <c r="CC12" s="87" t="n"/>
      <c r="CD12" s="88" t="n"/>
      <c r="CE12" s="88" t="n"/>
      <c r="CF12" s="88" t="n"/>
      <c r="CG12" s="88" t="n"/>
      <c r="CH12" s="88" t="n"/>
      <c r="CI12" s="88" t="n"/>
      <c r="CJ12" s="88" t="n"/>
      <c r="CK12" s="88" t="n"/>
      <c r="CL12" s="88" t="n"/>
      <c r="CM12" s="88" t="n"/>
      <c r="CN12" s="88" t="n"/>
      <c r="CO12" s="89" t="n"/>
      <c r="CP12" s="88" t="n"/>
      <c r="CQ12" s="88" t="n"/>
      <c r="CR12" s="88" t="n"/>
      <c r="CS12" s="88" t="n"/>
      <c r="CT12" s="87" t="n"/>
      <c r="CV12" s="81" t="inlineStr">
        <is>
          <t>БАИНГ</t>
        </is>
      </c>
      <c r="CW12" s="82" t="n"/>
      <c r="CX12" s="81" t="n"/>
      <c r="CY12" s="83" t="n"/>
      <c r="CZ12" s="83" t="n"/>
      <c r="DA12" s="83" t="n"/>
      <c r="DB12" s="83" t="n"/>
      <c r="DC12" s="83" t="n"/>
      <c r="DD12" s="84" t="n"/>
      <c r="DE12" s="84" t="n"/>
      <c r="DF12" s="84" t="n"/>
      <c r="DG12" s="84" t="n"/>
      <c r="DH12" s="83" t="n"/>
      <c r="DI12" s="81" t="n"/>
      <c r="DJ12" s="117" t="n"/>
      <c r="DK12" s="117" t="n"/>
      <c r="DL12" s="83" t="n"/>
      <c r="DM12" s="83" t="n"/>
      <c r="DN12" s="83" t="n"/>
      <c r="DO12" s="83" t="n"/>
      <c r="DP12" s="83" t="n"/>
      <c r="DQ12" s="83" t="n"/>
      <c r="DR12" s="83" t="n"/>
      <c r="DS12" s="83" t="n"/>
      <c r="DT12" s="83" t="n"/>
      <c r="DU12" s="83" t="n"/>
      <c r="DV12" s="83" t="n"/>
      <c r="DW12" s="83" t="n"/>
      <c r="DX12" s="83" t="n"/>
      <c r="DY12" s="83" t="n"/>
      <c r="DZ12" s="83" t="n"/>
      <c r="EA12" s="83" t="n"/>
      <c r="EB12" s="83" t="n"/>
      <c r="EC12" s="83" t="n"/>
      <c r="ED12" s="83" t="n"/>
      <c r="EE12" s="83" t="n"/>
      <c r="EF12" s="83" t="n"/>
      <c r="EG12" s="83" t="n"/>
      <c r="EH12" s="84" t="n"/>
      <c r="EI12" s="84" t="n"/>
      <c r="EJ12" s="84" t="n"/>
      <c r="EK12" s="84" t="n"/>
      <c r="EL12" s="84" t="n"/>
      <c r="EM12" s="84" t="n"/>
      <c r="EN12" s="84" t="n"/>
      <c r="EO12" s="84" t="n"/>
      <c r="EP12" s="83" t="n"/>
      <c r="EQ12" s="83" t="n"/>
      <c r="ER12" s="83" t="n"/>
      <c r="ES12" s="83" t="n"/>
      <c r="ET12" s="83" t="n"/>
      <c r="EU12" s="83" t="n"/>
      <c r="EV12" s="83" t="n"/>
      <c r="EX12" s="78" t="n"/>
      <c r="EY12" s="78" t="n"/>
      <c r="EZ12" s="78" t="n"/>
      <c r="FA12" s="78" t="n"/>
      <c r="FB12" s="78" t="n"/>
      <c r="FC12" s="78" t="n"/>
      <c r="FD12" s="78" t="n"/>
      <c r="FE12" s="78" t="n"/>
      <c r="FF12" s="78" t="n"/>
      <c r="FG12" s="78" t="n"/>
      <c r="FH12" s="78" t="n"/>
      <c r="FI12" s="78" t="n"/>
      <c r="FJ12" s="78" t="n"/>
      <c r="FK12" s="78" t="n"/>
      <c r="FL12" s="78" t="n"/>
      <c r="FM12" s="78" t="n"/>
      <c r="FN12" s="78" t="n"/>
      <c r="FO12" s="78" t="n"/>
      <c r="FP12" s="78" t="n"/>
    </row>
    <row r="13" ht="26.25" customHeight="1">
      <c r="B13" s="24" t="n"/>
      <c r="C13" s="24" t="n"/>
      <c r="D13" s="24" t="n"/>
      <c r="G13" s="24" t="n"/>
      <c r="H13" s="24" t="n"/>
      <c r="I13" s="24" t="n"/>
      <c r="J13" s="24" t="n"/>
      <c r="K13" s="24" t="n"/>
      <c r="AE13" s="23" t="inlineStr">
        <is>
          <t> </t>
        </is>
      </c>
      <c r="AP13" s="30" t="inlineStr">
        <is>
          <t> </t>
        </is>
      </c>
      <c r="BL13" s="49" t="n"/>
      <c r="BM13" s="47" t="n"/>
      <c r="BY13" s="118" t="n"/>
      <c r="BZ13" s="118" t="n"/>
      <c r="CM13" s="23" t="n"/>
      <c r="CN13" s="23" t="n"/>
      <c r="CU13" s="80" t="inlineStr">
        <is>
          <t>_ -&gt;|!!!УДАЛИТЬ ПЕРЕД ОТПРАВКОЙ ЗАКАЗЧИКУ</t>
        </is>
      </c>
      <c r="CV13" s="51" t="n"/>
      <c r="CW13" s="52" t="n"/>
      <c r="CX13" s="51" t="n"/>
      <c r="CY13" s="23" t="n"/>
      <c r="CZ13" s="23" t="n"/>
      <c r="DA13" s="23" t="n"/>
      <c r="DB13" s="23" t="n"/>
      <c r="DG13" s="112">
        <f>IF($DC13=0,0,$DD13*($DC13*100%-$DE13*$DF13))*$AB13</f>
        <v/>
      </c>
      <c r="DI13" s="119">
        <f t="array" ref="DI13">IFERROR(
IF($ES13="LisChannel",
(ROUND(((INDEX({174.625;153.888888888889;130.972222222222},MATCH($AI13,{2;3;4}),0))*$AG13*$AI13),2)),0),0)</f>
        <v/>
      </c>
      <c r="DJ13" s="119">
        <f>
IFERROR(
IF(
$ES13&lt;&gt;"НовиковТВ",
$DI13+$DG13/(1-(1-($DI13)*(1-$DL13)*(1-$DM13)*(1-$DN13)*(1-$DO13)*(1-$DP13)/$DI13)),
_xlfn.LET(_xlpm.NTV,
_xlfn.LET(_xlpm.MIN, 280000
+N("МИНИМАЛЬНЫЙ ПАКЕТ"),
IF($ES13="НовиковТВ",IF(SUMIFS($DI:$DI,$ES:$ES,"НовиковТВ")&lt;_xlpm.MIN,
(SUMIFS($DI:$DI,$ES:$ES,"НовиковТВ")/(COUNTIFS($ES:$ES,"НовиковТВ")))*_xlpm.MIN/SUMIFS($DI:$DI,$ES:$ES,"НовиковТВ")),
0)),
_xlpm.NTV+$DG13/(1-(1-(_xlpm.NTV)*(1-$DL13)*(1-$DM13)*(1-$DN13)*(1-$DO13)*(1-$DP13)/_xlpm.NTV)))),
0)</f>
        <v/>
      </c>
      <c r="DQ13" s="54">
        <f t="array" ref="DQ13">IFERROR(_xlfn.IFS(
$DK13="послед.",1-(1-$DL13)*(1-$DM13)*(1-$DN13)*(1-$DO13)*(1-$DP13),
$DK13="сумм.",$DL13+$DM13+$DN13+$DO13+$DP13),
0)</f>
        <v/>
      </c>
      <c r="DR13" s="112">
        <f t="array" ref="DR13">
IF(DQ13&gt;0,
IFERROR(
_xlfn.IFS($BL13=0,
0,
$BL13&gt;0,
_xlfn.IFS(DK13="послед.",
$DJ13*(1-$DL13)*(1-$DM13)*(1-$DN13)*(1-$DO13)*(1-$DP13),
DK13="сумм",
$DJ13*(1-($DL13+$DM13+$DN13+$DO13+$DP13)))),
0),
$DJ13)</f>
        <v/>
      </c>
      <c r="DS13" s="112">
        <f t="array" ref="DS13">
IFERROR(_xlfn.IFS(
$DH13="день_1",
$DR13*$BL13/($AZ$14*$AY11+$BA$14*$BA13+$BB$14*$BB13+$BC$14*$BC13+$BD$14*$BD13+$BE$14*$BE13+$BF$14*$BF13+$BG$14*$BG13+$BH$14*$BH13+$BI$14*$BI13+$BJ$14*$BJ13+$BK$14*$BK13)*AY11*AZ$14,
$DH13="день_2",
$DR13/30*AY11*AZ$14,
$DH13="день_3",
$DR13/30*MAX(MIN($AX13,EOMONTH(AZ$15,0))-MAX($AW13,AZ$15)+1,),
$DH13="раб.день",
$DR13/30*(
_xlfn.LET(_xlpm.VD,
CHOOSE(
{1;2;3;4;5;6;7;8;9;10;11;12;13;14;15;16},
45658,45659,45660,45661,45662,45663,45664,45665,45711,45724,45778,45779,45786,45820,45821,45965,46022),
_xlfn.LET(_xlpm.DD,
MAX(MIN($AX13,EOMONTH(AZ$15,0))-MAX($AW13,AZ$15)+1,),
_xlfn.IFS(
AND(MONTH($AW13)=MONTH(AZ$15),MONTH($AX13)&lt;&gt;MONTH(AZ$15)),
NETWORKDAYS.INTL(($AX13+1)-_xlpm.DD,$AX13,1,_xlpm.VD),
AND(MONTH($AW13)=MONTH(AZ$15),MONTH($AX13)=MONTH(AZ$15)),
NETWORKDAYS.INTL($AW13,$AX13,1,_xlpm.VD),
AND(MONTH($AW13)&lt;&gt;MONTH(AZ$15),MONTH($AX13)=MONTH(AZ$15)),
NETWORKDAYS.INTL(($AX13+1)-_xlpm.DD,$AX13,1,_xlpm.VD),
AND(MONTH($AW13)&lt;MONTH(AZ$15),MONTH($AX13)&gt;MONTH(AZ$15)),
NETWORKDAYS.INTL((EOMONTH(AZ$15-1,1)+1)-_xlpm.DD,EOMONTH(AZ$15-1,1),1,_xlpm.VD)
)))),
$DH13="месяц",
$DR13*AY11,
$DH13="неделя",
$DR13*AY11/7*(ROUNDUP(AZ$14/4,0))),
0)</f>
        <v/>
      </c>
      <c r="DT13" s="112">
        <f t="array" ref="DT13">
IFERROR(_xlfn.IFS(
$DH13="день_1",
$DR13*$BL13/($AZ$14*$AY11+$BA$14*$BA13+$BB$14*$BB13+$BC$14*$BC13+$BD$14*$BD13+$BE$14*$BE13+$BF$14*$BF13+$BG$14*$BG13+$BH$14*$BH13+$BI$14*$BI13+$BJ$14*$BJ13+$BK$14*$BK13)*BA13*BA$14,
$DH13="день_2",
$DR13/30*BA13*BA$14,
$DH13="день_3",
$DR13/30*MAX(MIN($AX13,EOMONTH(BA$15,0))-MAX($AW13,BA$15)+1,),
$DH13="раб.день",
$DR13/30*(
_xlfn.LET(_xlpm.VD,
CHOOSE(
{1;2;3;4;5;6;7;8;9;10;11;12;13;14;15;16},
45658,45659,45660,45661,45662,45663,45664,45665,45711,45724,45778,45779,45786,45820,45821,45965,46022),
_xlfn.LET(_xlpm.DD,
MAX(MIN($AX13,EOMONTH(BA$15,0))-MAX($AW13,BA$15)+1,),
_xlfn.IFS(
AND(MONTH($AW13)=MONTH(BA$15),MONTH($AX13)&lt;&gt;MONTH(BA$15)),
NETWORKDAYS.INTL(($AX13+1)-_xlpm.DD,$AX13,1,_xlpm.VD),
AND(MONTH($AW13)=MONTH(BA$15),MONTH($AX13)=MONTH(BA$15)),
NETWORKDAYS.INTL($AW13,$AX13,1,_xlpm.VD),
AND(MONTH($AW13)&lt;&gt;MONTH(BA$15),MONTH($AX13)=MONTH(BA$15)),
NETWORKDAYS.INTL(($AX13+1)-_xlpm.DD,$AX13,1,_xlpm.VD),
AND(MONTH($AW13)&lt;MONTH(BA$15),MONTH($AX13)&gt;MONTH(BA$15)),
NETWORKDAYS.INTL((EOMONTH(BA$15-1,1)+1)-_xlpm.DD,EOMONTH(BA$15-1,1),1,_xlpm.VD)
)))),
$DH13="месяц",
$DR13*BA13,
$DH13="неделя",
$DR13*BA13/7*(ROUNDUP(BA$14/4,0))),
0)</f>
        <v/>
      </c>
      <c r="DU13" s="112">
        <f t="array" ref="DU13">
IFERROR(_xlfn.IFS(
$DH13="день_1",
$DR13*$BL13/($AZ$14*$AY11+$BA$14*$BA13+$BB$14*$BB13+$BC$14*$BC13+$BD$14*$BD13+$BE$14*$BE13+$BF$14*$BF13+$BG$14*$BG13+$BH$14*$BH13+$BI$14*$BI13+$BJ$14*$BJ13+$BK$14*$BK13)*BB13*BB$14,
$DH13="день_2",
$DR13/30*BB13*BB$14,
$DH13="день_3",
$DR13/30*MAX(MIN($AX13,EOMONTH(BB$15,0))-MAX($AW13,BB$15)+1,),
$DH13="раб.день",
$DR13/30*(
_xlfn.LET(_xlpm.VD,
CHOOSE(
{1;2;3;4;5;6;7;8;9;10;11;12;13;14;15;16},
45658,45659,45660,45661,45662,45663,45664,45665,45711,45724,45778,45779,45786,45820,45821,45965,46022),
_xlfn.LET(_xlpm.DD,
MAX(MIN($AX13,EOMONTH(BB$15,0))-MAX($AW13,BB$15)+1,),
_xlfn.IFS(
AND(MONTH($AW13)=MONTH(BB$15),MONTH($AX13)&lt;&gt;MONTH(BB$15)),
NETWORKDAYS.INTL(($AX13+1)-_xlpm.DD,$AX13,1,_xlpm.VD),
AND(MONTH($AW13)=MONTH(BB$15),MONTH($AX13)=MONTH(BB$15)),
NETWORKDAYS.INTL($AW13,$AX13,1,_xlpm.VD),
AND(MONTH($AW13)&lt;&gt;MONTH(BB$15),MONTH($AX13)=MONTH(BB$15)),
NETWORKDAYS.INTL(($AX13+1)-_xlpm.DD,$AX13,1,_xlpm.VD),
AND(MONTH($AW13)&lt;MONTH(BB$15),MONTH($AX13)&gt;MONTH(BB$15)),
NETWORKDAYS.INTL((EOMONTH(BB$15-1,1)+1)-_xlpm.DD,EOMONTH(BB$15-1,1),1,_xlpm.VD)
)))),
$DH13="месяц",
$DR13*BB13,
$DH13="неделя",
$DR13*BB13/7*(ROUNDUP(BB$14/4,0))),
0)</f>
        <v/>
      </c>
      <c r="DV13" s="112">
        <f t="array" ref="DV13">
IFERROR(_xlfn.IFS(
$DH13="день_1",
$DR13*$BL13/($AZ$14*$AY11+$BA$14*$BA13+$BB$14*$BB13+$BC$14*$BC13+$BD$14*$BD13+$BE$14*$BE13+$BF$14*$BF13+$BG$14*$BG13+$BH$14*$BH13+$BI$14*$BI13+$BJ$14*$BJ13+$BK$14*$BK13)*BC13*BC$14,
$DH13="день_2",
$DR13/30*BC13*BC$14,
$DH13="день_3",
$DR13/30*MAX(MIN($AX13,EOMONTH(BC$15,0))-MAX($AW13,BC$15)+1,),
$DH13="раб.день",
$DR13/30*(
_xlfn.LET(_xlpm.VD,
CHOOSE(
{1;2;3;4;5;6;7;8;9;10;11;12;13;14;15;16},
45658,45659,45660,45661,45662,45663,45664,45665,45711,45724,45778,45779,45786,45820,45821,45965,46022),
_xlfn.LET(_xlpm.DD,
MAX(MIN($AX13,EOMONTH(BC$15,0))-MAX($AW13,BC$15)+1,),
_xlfn.IFS(
AND(MONTH($AW13)=MONTH(BC$15),MONTH($AX13)&lt;&gt;MONTH(BC$15)),
NETWORKDAYS.INTL(($AX13+1)-_xlpm.DD,$AX13,1,_xlpm.VD),
AND(MONTH($AW13)=MONTH(BC$15),MONTH($AX13)=MONTH(BC$15)),
NETWORKDAYS.INTL($AW13,$AX13,1,_xlpm.VD),
AND(MONTH($AW13)&lt;&gt;MONTH(BC$15),MONTH($AX13)=MONTH(BC$15)),
NETWORKDAYS.INTL(($AX13+1)-_xlpm.DD,$AX13,1,_xlpm.VD),
AND(MONTH($AW13)&lt;MONTH(BC$15),MONTH($AX13)&gt;MONTH(BC$15)),
NETWORKDAYS.INTL((EOMONTH(BC$15-1,1)+1)-_xlpm.DD,EOMONTH(BC$15-1,1),1,_xlpm.VD)
)))),
$DH13="месяц",
$DR13*BC13,
$DH13="неделя",
$DR13*BC13/7*(ROUNDUP(BC$14/4,0))),
0)</f>
        <v/>
      </c>
      <c r="DW13" s="112">
        <f t="array" ref="DW13">
IFERROR(_xlfn.IFS(
$DH13="день_1",
$DR13*$BL13/($AZ$14*$AY11+$BA$14*$BA13+$BB$14*$BB13+$BC$14*$BC13+$BD$14*$BD13+$BE$14*$BE13+$BF$14*$BF13+$BG$14*$BG13+$BH$14*$BH13+$BI$14*$BI13+$BJ$14*$BJ13+$BK$14*$BK13)*BD13*BD$14,
$DH13="день_2",
$DR13/30*BD13*BD$14,
$DH13="день_3",
$DR13/30*MAX(MIN($AX13,EOMONTH(BD$15,0))-MAX($AW13,BD$15)+1,),
$DH13="раб.день",
$DR13/30*(
_xlfn.LET(_xlpm.VD,
CHOOSE(
{1;2;3;4;5;6;7;8;9;10;11;12;13;14;15;16},
45658,45659,45660,45661,45662,45663,45664,45665,45711,45724,45778,45779,45786,45820,45821,45965,46022),
_xlfn.LET(_xlpm.DD,
MAX(MIN($AX13,EOMONTH(BD$15,0))-MAX($AW13,BD$15)+1,),
_xlfn.IFS(
AND(MONTH($AW13)=MONTH(BD$15),MONTH($AX13)&lt;&gt;MONTH(BD$15)),
NETWORKDAYS.INTL(($AX13+1)-_xlpm.DD,$AX13,1,_xlpm.VD),
AND(MONTH($AW13)=MONTH(BD$15),MONTH($AX13)=MONTH(BD$15)),
NETWORKDAYS.INTL($AW13,$AX13,1,_xlpm.VD),
AND(MONTH($AW13)&lt;&gt;MONTH(BD$15),MONTH($AX13)=MONTH(BD$15)),
NETWORKDAYS.INTL(($AX13+1)-_xlpm.DD,$AX13,1,_xlpm.VD),
AND(MONTH($AW13)&lt;MONTH(BD$15),MONTH($AX13)&gt;MONTH(BD$15)),
NETWORKDAYS.INTL((EOMONTH(BD$15-1,1)+1)-_xlpm.DD,EOMONTH(BD$15-1,1),1,_xlpm.VD)
)))),
$DH13="месяц",
$DR13*BD13,
$DH13="неделя",
$DR13*BD13/7*(ROUNDUP(BD$14/4,0))),
0)</f>
        <v/>
      </c>
      <c r="DX13" s="112">
        <f t="array" ref="DX13">
IFERROR(_xlfn.IFS(
$DH13="день_1",
$DR13*$BL13/($AZ$14*$AY11+$BA$14*$BA13+$BB$14*$BB13+$BC$14*$BC13+$BD$14*$BD13+$BE$14*$BE13+$BF$14*$BF13+$BG$14*$BG13+$BH$14*$BH13+$BI$14*$BI13+$BJ$14*$BJ13+$BK$14*$BK13)*BE13*BE$14,
$DH13="день_2",
$DR13/30*BE13*BE$14,
$DH13="день_3",
$DR13/30*MAX(MIN($AX13,EOMONTH(BE$15,0))-MAX($AW13,BE$15)+1,),
$DH13="раб.день",
$DR13/30*(
_xlfn.LET(_xlpm.VD,
CHOOSE(
{1;2;3;4;5;6;7;8;9;10;11;12;13;14;15;16},
45658,45659,45660,45661,45662,45663,45664,45665,45711,45724,45778,45779,45786,45820,45821,45965,46022),
_xlfn.LET(_xlpm.DD,
MAX(MIN($AX13,EOMONTH(BE$15,0))-MAX($AW13,BE$15)+1,),
_xlfn.IFS(
AND(MONTH($AW13)=MONTH(BE$15),MONTH($AX13)&lt;&gt;MONTH(BE$15)),
NETWORKDAYS.INTL(($AX13+1)-_xlpm.DD,$AX13,1,_xlpm.VD),
AND(MONTH($AW13)=MONTH(BE$15),MONTH($AX13)=MONTH(BE$15)),
NETWORKDAYS.INTL($AW13,$AX13,1,_xlpm.VD),
AND(MONTH($AW13)&lt;&gt;MONTH(BE$15),MONTH($AX13)=MONTH(BE$15)),
NETWORKDAYS.INTL(($AX13+1)-_xlpm.DD,$AX13,1,_xlpm.VD),
AND(MONTH($AW13)&lt;MONTH(BE$15),MONTH($AX13)&gt;MONTH(BE$15)),
NETWORKDAYS.INTL((EOMONTH(BE$15-1,1)+1)-_xlpm.DD,EOMONTH(BE$15-1,1),1,_xlpm.VD)
)))),
$DH13="месяц",
$DR13*BE13,
$DH13="неделя",
$DR13*BE13/7*(ROUNDUP(BE$14/4,0))),
0)</f>
        <v/>
      </c>
      <c r="DY13" s="112">
        <f t="array" ref="DY13">
IFERROR(_xlfn.IFS(
$DH13="день_1",
$DR13*$BL13/($AZ$14*$AY11+$BA$14*$BA13+$BB$14*$BB13+$BC$14*$BC13+$BD$14*$BD13+$BE$14*$BE13+$BF$14*$BF13+$BG$14*$BG13+$BH$14*$BH13+$BI$14*$BI13+$BJ$14*$BJ13+$BK$14*$BK13)*BF13*BF$14,
$DH13="день_2",
$DR13/30*BF13*BF$14,
$DH13="день_3",
$DR13/30*MAX(MIN($AX13,EOMONTH(BF$15,0))-MAX($AW13,BF$15)+1,),
$DH13="раб.день",
$DR13/30*(
_xlfn.LET(_xlpm.VD,
CHOOSE(
{1;2;3;4;5;6;7;8;9;10;11;12;13;14;15;16},
45658,45659,45660,45661,45662,45663,45664,45665,45711,45724,45778,45779,45786,45820,45821,45965,46022),
_xlfn.LET(_xlpm.DD,
MAX(MIN($AX13,EOMONTH(BF$15,0))-MAX($AW13,BF$15)+1,),
_xlfn.IFS(
AND(MONTH($AW13)=MONTH(BF$15),MONTH($AX13)&lt;&gt;MONTH(BF$15)),
NETWORKDAYS.INTL(($AX13+1)-_xlpm.DD,$AX13,1,_xlpm.VD),
AND(MONTH($AW13)=MONTH(BF$15),MONTH($AX13)=MONTH(BF$15)),
NETWORKDAYS.INTL($AW13,$AX13,1,_xlpm.VD),
AND(MONTH($AW13)&lt;&gt;MONTH(BF$15),MONTH($AX13)=MONTH(BF$15)),
NETWORKDAYS.INTL(($AX13+1)-_xlpm.DD,$AX13,1,_xlpm.VD),
AND(MONTH($AW13)&lt;MONTH(BF$15),MONTH($AX13)&gt;MONTH(BF$15)),
NETWORKDAYS.INTL((EOMONTH(BF$15-1,1)+1)-_xlpm.DD,EOMONTH(BF$15-1,1),1,_xlpm.VD)
)))),
$DH13="месяц",
$DR13*BF13,
$DH13="неделя",
$DR13*BF13/7*(ROUNDUP(BF$14/4,0))),
0)</f>
        <v/>
      </c>
      <c r="DZ13" s="112">
        <f t="array" ref="DZ13">
IFERROR(_xlfn.IFS(
$DH13="день_1",
$DR13*$BL13/($AZ$14*$AY11+$BA$14*$BA13+$BB$14*$BB13+$BC$14*$BC13+$BD$14*$BD13+$BE$14*$BE13+$BF$14*$BF13+$BG$14*$BG13+$BH$14*$BH13+$BI$14*$BI13+$BJ$14*$BJ13+$BK$14*$BK13)*BG13*BG$14,
$DH13="день_2",
$DR13/30*BG13*BG$14,
$DH13="день_3",
$DR13/30*MAX(MIN($AX13,EOMONTH(BG$15,0))-MAX($AW13,BG$15)+1,),
$DH13="раб.день",
$DR13/30*(
_xlfn.LET(_xlpm.VD,
CHOOSE(
{1;2;3;4;5;6;7;8;9;10;11;12;13;14;15;16},
45658,45659,45660,45661,45662,45663,45664,45665,45711,45724,45778,45779,45786,45820,45821,45965,46022),
_xlfn.LET(_xlpm.DD,
MAX(MIN($AX13,EOMONTH(BG$15,0))-MAX($AW13,BG$15)+1,),
_xlfn.IFS(
AND(MONTH($AW13)=MONTH(BG$15),MONTH($AX13)&lt;&gt;MONTH(BG$15)),
NETWORKDAYS.INTL(($AX13+1)-_xlpm.DD,$AX13,1,_xlpm.VD),
AND(MONTH($AW13)=MONTH(BG$15),MONTH($AX13)=MONTH(BG$15)),
NETWORKDAYS.INTL($AW13,$AX13,1,_xlpm.VD),
AND(MONTH($AW13)&lt;&gt;MONTH(BG$15),MONTH($AX13)=MONTH(BG$15)),
NETWORKDAYS.INTL(($AX13+1)-_xlpm.DD,$AX13,1,_xlpm.VD),
AND(MONTH($AW13)&lt;MONTH(BG$15),MONTH($AX13)&gt;MONTH(BG$15)),
NETWORKDAYS.INTL((EOMONTH(BG$15-1,1)+1)-_xlpm.DD,EOMONTH(BG$15-1,1),1,_xlpm.VD)
)))),
$DH13="месяц",
$DR13*BG13,
$DH13="неделя",
$DR13*BG13/7*(ROUNDUP(BG$14/4,0))),
0)</f>
        <v/>
      </c>
      <c r="EA13" s="112">
        <f t="array" ref="EA13">
IFERROR(_xlfn.IFS(
$DH13="день_1",
$DR13*$BL13/($AZ$14*$AY11+$BA$14*$BA13+$BB$14*$BB13+$BC$14*$BC13+$BD$14*$BD13+$BE$14*$BE13+$BF$14*$BF13+$BG$14*$BG13+$BH$14*$BH13+$BI$14*$BI13+$BJ$14*$BJ13+$BK$14*$BK13)*BH13*BH$14,
$DH13="день_2",
$DR13/30*BH13*BH$14,
$DH13="день_3",
$DR13/30*MAX(MIN($AX13,EOMONTH(BH$15,0))-MAX($AW13,BH$15)+1,),
$DH13="раб.день",
$DR13/30*(
_xlfn.LET(_xlpm.VD,
CHOOSE(
{1;2;3;4;5;6;7;8;9;10;11;12;13;14;15;16},
45658,45659,45660,45661,45662,45663,45664,45665,45711,45724,45778,45779,45786,45820,45821,45965,46022),
_xlfn.LET(_xlpm.DD,
MAX(MIN($AX13,EOMONTH(BH$15,0))-MAX($AW13,BH$15)+1,),
_xlfn.IFS(
AND(MONTH($AW13)=MONTH(BH$15),MONTH($AX13)&lt;&gt;MONTH(BH$15)),
NETWORKDAYS.INTL(($AX13+1)-_xlpm.DD,$AX13,1,_xlpm.VD),
AND(MONTH($AW13)=MONTH(BH$15),MONTH($AX13)=MONTH(BH$15)),
NETWORKDAYS.INTL($AW13,$AX13,1,_xlpm.VD),
AND(MONTH($AW13)&lt;&gt;MONTH(BH$15),MONTH($AX13)=MONTH(BH$15)),
NETWORKDAYS.INTL(($AX13+1)-_xlpm.DD,$AX13,1,_xlpm.VD),
AND(MONTH($AW13)&lt;MONTH(BH$15),MONTH($AX13)&gt;MONTH(BH$15)),
NETWORKDAYS.INTL((EOMONTH(BH$15-1,1)+1)-_xlpm.DD,EOMONTH(BH$15-1,1),1,_xlpm.VD)
)))),
$DH13="месяц",
$DR13*BH13,
$DH13="неделя",
$DR13*BH13/7*(ROUNDUP(BH$14/4,0))),
0)</f>
        <v/>
      </c>
      <c r="EB13" s="112">
        <f t="array" ref="EB13">
IFERROR(_xlfn.IFS(
$DH13="день_1",
$DR13*$BL13/($AZ$14*$AY11+$BA$14*$BA13+$BB$14*$BB13+$BC$14*$BC13+$BD$14*$BD13+$BE$14*$BE13+$BF$14*$BF13+$BG$14*$BG13+$BH$14*$BH13+$BI$14*$BI13+$BJ$14*$BJ13+$BK$14*$BK13)*BI13*BI$14,
$DH13="день_2",
$DR13/30*BI13*BI$14,
$DH13="день_3",
$DR13/30*MAX(MIN($AX13,EOMONTH(BI$15,0))-MAX($AW13,BI$15)+1,),
$DH13="раб.день",
$DR13/30*(
_xlfn.LET(_xlpm.VD,
CHOOSE(
{1;2;3;4;5;6;7;8;9;10;11;12;13;14;15;16},
45658,45659,45660,45661,45662,45663,45664,45665,45711,45724,45778,45779,45786,45820,45821,45965,46022),
_xlfn.LET(_xlpm.DD,
MAX(MIN($AX13,EOMONTH(BI$15,0))-MAX($AW13,BI$15)+1,),
_xlfn.IFS(
AND(MONTH($AW13)=MONTH(BI$15),MONTH($AX13)&lt;&gt;MONTH(BI$15)),
NETWORKDAYS.INTL(($AX13+1)-_xlpm.DD,$AX13,1,_xlpm.VD),
AND(MONTH($AW13)=MONTH(BI$15),MONTH($AX13)=MONTH(BI$15)),
NETWORKDAYS.INTL($AW13,$AX13,1,_xlpm.VD),
AND(MONTH($AW13)&lt;&gt;MONTH(BI$15),MONTH($AX13)=MONTH(BI$15)),
NETWORKDAYS.INTL(($AX13+1)-_xlpm.DD,$AX13,1,_xlpm.VD),
AND(MONTH($AW13)&lt;MONTH(BI$15),MONTH($AX13)&gt;MONTH(BI$15)),
NETWORKDAYS.INTL((EOMONTH(BI$15-1,1)+1)-_xlpm.DD,EOMONTH(BI$15-1,1),1,_xlpm.VD)
)))),
$DH13="месяц",
$DR13*BI13,
$DH13="неделя",
$DR13*BI13/7*(ROUNDUP(BI$14/4,0))),
0)</f>
        <v/>
      </c>
      <c r="EC13" s="112">
        <f t="array" ref="EC13">
IFERROR(_xlfn.IFS(
$DH13="день_1",
$DR13*$BL13/($AZ$14*$AY11+$BA$14*$BA13+$BB$14*$BB13+$BC$14*$BC13+$BD$14*$BD13+$BE$14*$BE13+$BF$14*$BF13+$BG$14*$BG13+$BH$14*$BH13+$BI$14*$BI13+$BJ$14*$BJ13+$BK$14*$BK13)*BJ13*BJ$14,
$DH13="день_2",
$DR13/30*BJ13*BJ$14,
$DH13="день_3",
$DR13/30*MAX(MIN($AX13,EOMONTH(BJ$15,0))-MAX($AW13,BJ$15)+1,),
$DH13="раб.день",
$DR13/30*(
_xlfn.LET(_xlpm.VD,
CHOOSE(
{1;2;3;4;5;6;7;8;9;10;11;12;13;14;15;16},
45658,45659,45660,45661,45662,45663,45664,45665,45711,45724,45778,45779,45786,45820,45821,45965,46022),
_xlfn.LET(_xlpm.DD,
MAX(MIN($AX13,EOMONTH(BJ$15,0))-MAX($AW13,BJ$15)+1,),
_xlfn.IFS(
AND(MONTH($AW13)=MONTH(BJ$15),MONTH($AX13)&lt;&gt;MONTH(BJ$15)),
NETWORKDAYS.INTL(($AX13+1)-_xlpm.DD,$AX13,1,_xlpm.VD),
AND(MONTH($AW13)=MONTH(BJ$15),MONTH($AX13)=MONTH(BJ$15)),
NETWORKDAYS.INTL($AW13,$AX13,1,_xlpm.VD),
AND(MONTH($AW13)&lt;&gt;MONTH(BJ$15),MONTH($AX13)=MONTH(BJ$15)),
NETWORKDAYS.INTL(($AX13+1)-_xlpm.DD,$AX13,1,_xlpm.VD),
AND(MONTH($AW13)&lt;MONTH(BJ$15),MONTH($AX13)&gt;MONTH(BJ$15)),
NETWORKDAYS.INTL((EOMONTH(BJ$15-1,1)+1)-_xlpm.DD,EOMONTH(BJ$15-1,1),1,_xlpm.VD)
)))),
$DH13="месяц",
$DR13*BJ13,
$DH13="неделя",
$DR13*BJ13/7*(ROUNDUP(BJ$14/4,0))),
0)</f>
        <v/>
      </c>
      <c r="ED13" s="112">
        <f t="array" ref="ED13">
IFERROR(_xlfn.IFS(
$DH13="день_1",
$DR13*$BL13/($AZ$14*$AY11+$BA$14*$BA13+$BB$14*$BB13+$BC$14*$BC13+$BD$14*$BD13+$BE$14*$BE13+$BF$14*$BF13+$BG$14*$BG13+$BH$14*$BH13+$BI$14*$BI13+$BJ$14*$BJ13+$BK$14*$BK13)*BK13*BK$14,
$DH13="день_2",
$DR13/30*BK13*BK$14,
$DH13="день_3",
$DR13/30*MAX(MIN($AX13,EOMONTH(BK$15,0))-MAX($AW13,BK$15)+1,),
$DH13="раб.день",
$DR13/30*(
_xlfn.LET(_xlpm.VD,
CHOOSE(
{1;2;3;4;5;6;7;8;9;10;11;12;13;14;15;16},
45658,45659,45660,45661,45662,45663,45664,45665,45711,45724,45778,45779,45786,45820,45821,45965,46022),
_xlfn.LET(_xlpm.DD,
MAX(MIN($AX13,EOMONTH(BK$15,0))-MAX($AW13,BK$15)+1,),
_xlfn.IFS(
AND(MONTH($AW13)=MONTH(BK$15),MONTH($AX13)&lt;&gt;MONTH(BK$15)),
NETWORKDAYS.INTL(($AX13+1)-_xlpm.DD,$AX13,1,_xlpm.VD),
AND(MONTH($AW13)=MONTH(BK$15),MONTH($AX13)=MONTH(BK$15)),
NETWORKDAYS.INTL($AW13,$AX13,1,_xlpm.VD),
AND(MONTH($AW13)&lt;&gt;MONTH(BK$15),MONTH($AX13)=MONTH(BK$15)),
NETWORKDAYS.INTL(($AX13+1)-_xlpm.DD,$AX13,1,_xlpm.VD),
AND(MONTH($AW13)&lt;MONTH(BK$15),MONTH($AX13)&gt;MONTH(BK$15)),
NETWORKDAYS.INTL((EOMONTH(BK$15-1,1)+1)-_xlpm.DD,EOMONTH(BK$15-1,1),1,_xlpm.VD)
)))),
$DH13="месяц",
$DR13*BK13,
$DH13="неделя",
$DR13*BK13/7*(ROUNDUP(BK$14/4,0))),
0)</f>
        <v/>
      </c>
      <c r="EP13" s="23" t="n"/>
      <c r="EQ13" s="23" t="n"/>
      <c r="EX13" s="78" t="n"/>
      <c r="EY13" s="78" t="n"/>
    </row>
    <row r="14" ht="15" customHeight="1">
      <c r="B14" s="25" t="n"/>
      <c r="C14" s="25" t="n"/>
      <c r="D14" s="25">
        <f t="array" ref="D14">IFERROR(
INDEX(CHOOSE(
{1;2;3;4;5;6;7;8;9;10;11;12;13;14;15;16;17;18;19;20;21;22;23;24;25;26;27;28;29;30;31;32;33;34;35;36;37;38;39;40;41;42;43;44;45;46;47;48;49;50;51;52;53;54;55;56;57;58;59;60;61;62;63;64;65;66;67;68;69;70;71;72;73;74;75;76;77;78;79;80;81;82;83},
"ЦФО","СЗФО","ЮФО","УрФО","ЮФО","ПФО","ПФО","УрФО","ПФО","ПФО","СКФО","СФО","СКФО","СФО","СФО","ПФО","ЮФО","ПФО","СФО","ЦФО","СФО","ПФО","СФО","ЮФО","ДФО","УрФО","УрФО","ЦФО","СКФО","ПФО","ЦФО","ЦФО","ДФО","ПФО","ПФО","ЦФО","ЦФО","ПФО","ПФО","ЦФО","СЗФО","ЦФО","ЦФО","ЦФО","СЗФО","СФО","ДФО","СЗФО","ЦФО","ЮФО","ЦФО","ЦФО","ДФО","ДФО","ЦФО","СКФО","УрФО","СЗФО","ДФО","ПФО","СЗФО","ЦФО","СКФО","ПФО","ЦФО","СЗФО","СЗФО","СЗФО","УрФО","СФО","СКФО","ЮФО","ДФО","СКФО","ЮФО","СФО","ДФО","ЮФО","СФО","ДФО","ДФО","ДФО","СЗФО"),
MATCH($E14,
{"Московская Область";"Ленинградская область";"Краснодарский край";"Свердловская Область";"Ростовская Область";"Башкортостан Республика";"Татарстан Республика";"Челябинская Область";"Нижегородская Область";"Самарская Область";"Дагестан Республика";"Красноярский Край";"Ставропольский Край";"Новосибирская Область";"Кемеровская Область";"Пермский Край";"Волгоградская Область";"Саратовская Область";"Иркутская Область";"Воронежская Область";"Алтайский Край";"Оренбургская Область";"Омская Область";"Крым Республика";"Приморский Край";"Ханты-Мансийский Автономный округ - Югра Автономный округ";"Тюменская Область";"Белгородская Область";"Чеченская Республика";"Удмуртская Республика";"Тульская Область";"Владимирская Область";"Хабаровский Край";"Пензенская Область";"Кировская Область";"Тверская Область";"Ярославская Область";"Ульяновская Область";"Чувашская Республика - Чувашия";"Брянская Область";"Вологодская Область";"Липецкая Область";"Рязанская Область";"Курская Область";"Архангельская Область";"Томская Область";"Забайкальский Край";"Калининградская Область";"Калужская Область";"Астраханская Область";"Тамбовская Область";"Ивановская Область";"Бурятия Республика";"Саха (Якутия) Республика";"Смоленская Область";"Кабардино-Балкарская Республика";"Курганская Область";"Коми Республика";"Амурская Область";"Мордовия Республика";"Мурманская Область";"Орловская Область";"Северная Осетия - Алания Республика";"Марий Эл Республика";"Костромская Область";"Псковская Область";"Карелия Республика";"Новгородская Область";"Ямало-Ненецкий Автономный округ";"Хакасия Республика";"Ингушетия Республика";"Севастополь Город";"Сахалинская Область";"Карачаево-Черкесская Республика";"Адыгея Республика";"Тыва Республика";"Камчатский Край";"Калмыкия Республика";"Алтай Республика";"Еврейская Автономная область";"Магаданская Область";"Чукотский Автономный округ";"Ненецкий Автономный округ"},
0)),"")</f>
        <v/>
      </c>
      <c r="E14" s="23">
        <f t="array" ref="E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 s="25" t="n"/>
      <c r="G14" s="25" t="n"/>
      <c r="H14" s="55">
        <f t="array" ref="H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 s="25" t="n"/>
      <c r="J14" s="25" t="n"/>
      <c r="K14" s="25" t="n"/>
      <c r="L14" s="25" t="n"/>
      <c r="M14" s="56">
        <f>SUBTOTAL(3,M16:M1048576)</f>
        <v/>
      </c>
      <c r="N14" s="25" t="n"/>
      <c r="O14" s="56" t="n"/>
      <c r="P14" s="25">
        <f>
IF(ISNUMBER(MATCH(Q14,{"шелфбаннер","разделитель","монетница","чековая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IF(ISNUMBER(MATCH(Q14,{"LED/LCD","видеокулер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IF(ISNUMBER(MATCH(Q14,{"автомобиль","машина","выставочное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IF(ISNUMBER(MATCH(Q14,{"билборд","лифтовая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IF(ISNUMBER(MATCH(Q14,{"навигация","подвесной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IF(ISNUMBER(MATCH(Q14,{"движущаяся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IF(ISNUMBER(MATCH(Q14,{"каталог","журнал"},)),
"Пресса",
"")))))))</f>
        <v/>
      </c>
      <c r="Q14" s="25" t="n"/>
      <c r="R14" s="25">
        <f>
IF(OR(ISNUMBER(MATCH(Q14,{"экспозиция","макет","стенд","автостенд","авто стенд","выставочное пространство","выставочные стенды","модульные выставочные стенды","3Д конструкция","3D конструкция"},)),P14="Экспонирование"),
"нестандартный",
IF(ISNUMBER(MATCH(Q14,{"скроллер","призматрон"},)),
"динамический",
IF(P14="Видео",
"цифровой",
IF(OR(P14="Пресса",P14="Щит",P14="POSm",P14="Подвес",P14="Брендирование/оклейка"),
"статический",
""))))</f>
        <v/>
      </c>
      <c r="S14" s="25" t="n"/>
      <c r="T14" s="44" t="n"/>
      <c r="U14" s="25" t="n"/>
      <c r="V14" s="25">
        <f>
IF(P14="Видео",
"цифровой постер/ролик",
IF(ISNUMBER(MATCH(Q14,{"короб световой","короб световой | лайтбокс","короб световой | кристалайт","лайтбокс","лайт бокс","кристалайт","LB","lightbox"},)),
"бэклит",
IF(P14="Брендирование/оклейка",
"перфарированная пленка/самоклейка",
IF(P14="Экспонирование",
"под запрос",
IF(P14="Подвес",
"баннер/ткань",
"")))))</f>
        <v/>
      </c>
      <c r="W14" s="25" t="n"/>
      <c r="X14" s="25" t="n"/>
      <c r="Y14" s="25" t="n"/>
      <c r="Z14" s="56">
        <f>SUBTOTAL(9,Z16:Z1048576)</f>
        <v/>
      </c>
      <c r="AA14" s="56">
        <f>SUBTOTAL(9,AA16:AA1048576)</f>
        <v/>
      </c>
      <c r="AB14" s="57">
        <f>SUBTOTAL(9,AB16:AB1048576)</f>
        <v/>
      </c>
      <c r="AC14" s="25" t="n"/>
      <c r="AD14" s="25" t="n"/>
      <c r="AE14" s="25" t="n"/>
      <c r="AF14" s="25" t="n"/>
      <c r="AM14" s="23" t="n"/>
      <c r="AP14" s="23" t="n"/>
      <c r="AQ14" s="28" t="n"/>
      <c r="AS14" s="23" t="n"/>
      <c r="AT14" s="23" t="n"/>
      <c r="AV14" s="23" t="n"/>
      <c r="AW14" s="23" t="inlineStr">
        <is>
          <t> </t>
        </is>
      </c>
      <c r="AZ14" s="48" t="n"/>
      <c r="BA14" s="48" t="n"/>
      <c r="BB14" s="48" t="n"/>
      <c r="BC14" s="48" t="n"/>
      <c r="BD14" s="48" t="n"/>
      <c r="BE14" s="48" t="n"/>
      <c r="BF14" s="48" t="n"/>
      <c r="BG14" s="48" t="n"/>
      <c r="BH14" s="48" t="n"/>
      <c r="BI14" s="48" t="n"/>
      <c r="BJ14" s="48" t="n"/>
      <c r="BK14" s="48" t="n"/>
      <c r="BL14" s="47" t="n"/>
      <c r="BM14" s="47" t="n"/>
      <c r="BN14" s="111">
        <f>SUBTOTAL(9,BN16:BN1048576)</f>
        <v/>
      </c>
      <c r="BP14" s="111">
        <f>SUBTOTAL(9,BP16:BP1048576)</f>
        <v/>
      </c>
      <c r="BQ14" s="111">
        <f>SUBTOTAL(9,BQ16:BQ1048576)</f>
        <v/>
      </c>
      <c r="BR14" s="111">
        <f>SUBTOTAL(9,BR16:BR1048576)</f>
        <v/>
      </c>
      <c r="BS14" s="111">
        <f>SUBTOTAL(9,BS16:BS1048576)</f>
        <v/>
      </c>
      <c r="BT14" s="111">
        <f>SUBTOTAL(9,BT16:BT1048576)</f>
        <v/>
      </c>
      <c r="BU14" s="111">
        <f>SUBTOTAL(9,BU16:BU1048576)</f>
        <v/>
      </c>
      <c r="BV14" s="111">
        <f>SUBTOTAL(9,BV16:BV1048576)</f>
        <v/>
      </c>
      <c r="BW14" s="111">
        <f>SUBTOTAL(9,BW16:BW1048576)</f>
        <v/>
      </c>
      <c r="BX14" s="111">
        <f>SUBTOTAL(9,BX16:BX1048576)</f>
        <v/>
      </c>
      <c r="BY14" s="111">
        <f>SUBTOTAL(9,BY16:BY1048576)</f>
        <v/>
      </c>
      <c r="BZ14" s="111">
        <f>SUBTOTAL(9,BZ16:BZ1048576)</f>
        <v/>
      </c>
      <c r="CA14" s="111">
        <f>SUBTOTAL(9,CA16:CA1048576)</f>
        <v/>
      </c>
      <c r="CB14" s="111">
        <f>SUBTOTAL(9,CB16:CB1048576)</f>
        <v/>
      </c>
      <c r="CC14" s="111">
        <f>SUBTOTAL(9,CC16:CC1048576)</f>
        <v/>
      </c>
      <c r="CD14" s="111">
        <f>SUBTOTAL(9,CD16:CD1048576)</f>
        <v/>
      </c>
      <c r="CE14" s="111">
        <f>SUBTOTAL(9,CE16:CE1048576)</f>
        <v/>
      </c>
      <c r="CF14" s="111">
        <f>SUBTOTAL(9,CF16:CF1048576)</f>
        <v/>
      </c>
      <c r="CG14" s="111">
        <f>SUBTOTAL(9,CG16:CG1048576)</f>
        <v/>
      </c>
      <c r="CH14" s="111">
        <f>SUBTOTAL(9,CH16:CH1048576)</f>
        <v/>
      </c>
      <c r="CI14" s="111">
        <f>SUBTOTAL(9,CI16:CI1048576)</f>
        <v/>
      </c>
      <c r="CJ14" s="111" t="n"/>
      <c r="CK14" s="111">
        <f>SUBTOTAL(9,CK16:CK1048576)</f>
        <v/>
      </c>
      <c r="CL14" s="111">
        <f>SUBTOTAL(9,CL16:CL1048576)</f>
        <v/>
      </c>
      <c r="CM14" s="23" t="n"/>
      <c r="CN14" s="23" t="n"/>
      <c r="CQ14" s="28">
        <f t="array" ref="CQ14">IFERROR(
INDEX(CHOOSE(
{1,2,3,4,5,6,7,8,9,10,11,12,13,14,15,16},
"в срок не позднее, чем за 30 календарных дней до старта РК","в срок не позднее, чем за 60 календарных дней до старта РК","в срок не позднее, чем за 30 календарных дней до старта РК","уточняется","в срок не позднее, чем за 45 календарных дней до старта РК","уточняется","в срок не позднее, чем за 45 календарных дней до старта РК","в срок не позднее, чем за 30 календарных дней до старта РК","нет данных","в срок не позднее, чем за 45 календарных дней до старта РК","в срок не позднее, чем за 30 календарных дней до старта РК","в срок не позднее, чем за 30 календарных дней до старта РК","в срок не позднее, чем за 45 календарных дней до старта РК","в срок не позднее, чем за 30 календарных дней до старта РК","уточняется"),
MATCH(ES14,
{"AMS";"RussOutdoor";"HD Outdoor";"Ingroup";"IQ";"Ledproduction";"LisChannel";"Logic";"Media-PPL";"NovikovTV | НовиковТВ";"SMA";"SOK";"КрокусТВ | CrocusTV | IndoorTV";"Сити";"ТЯК Москва"},
0)),"")</f>
        <v/>
      </c>
      <c r="CV14" s="23" t="n"/>
      <c r="CW14" s="23" t="n"/>
      <c r="CX14" s="28" t="n"/>
      <c r="CY14" s="23" t="n"/>
      <c r="CZ14" s="23" t="n"/>
      <c r="DA14" s="23" t="n"/>
      <c r="DB14" s="111">
        <f>SUBTOTAL(9,DB16:DB1048576)</f>
        <v/>
      </c>
      <c r="DC14" s="118" t="n"/>
      <c r="DD14" s="111">
        <f>SUBTOTAL(9,DD16:DD1048576)</f>
        <v/>
      </c>
      <c r="DE14" s="111" t="n"/>
      <c r="DF14" s="111" t="n"/>
      <c r="DG14" s="111">
        <f>SUBTOTAL(9,DG16:DG1048576)</f>
        <v/>
      </c>
      <c r="DI14" s="111">
        <f>SUBTOTAL(9,DI16:DI1048576)</f>
        <v/>
      </c>
      <c r="DJ14" s="111">
        <f>SUBTOTAL(9,DJ16:DJ1048576)</f>
        <v/>
      </c>
      <c r="DR14" s="111">
        <f>SUBTOTAL(9,DR16:DR1048576)</f>
        <v/>
      </c>
      <c r="DS14" s="111">
        <f>SUBTOTAL(9,DS16:DS1048576)</f>
        <v/>
      </c>
      <c r="DT14" s="111">
        <f>SUBTOTAL(9,DT16:DT1048576)</f>
        <v/>
      </c>
      <c r="DU14" s="111">
        <f>SUBTOTAL(9,DU16:DU1048576)</f>
        <v/>
      </c>
      <c r="DV14" s="111">
        <f>SUBTOTAL(9,DV16:DV1048576)</f>
        <v/>
      </c>
      <c r="DW14" s="111">
        <f>SUBTOTAL(9,DW16:DW1048576)</f>
        <v/>
      </c>
      <c r="DX14" s="111">
        <f>SUBTOTAL(9,DX16:DX1048576)</f>
        <v/>
      </c>
      <c r="DY14" s="111">
        <f>SUBTOTAL(9,DY16:DY1048576)</f>
        <v/>
      </c>
      <c r="DZ14" s="111">
        <f>SUBTOTAL(9,DZ16:DZ1048576)</f>
        <v/>
      </c>
      <c r="EA14" s="111">
        <f>SUBTOTAL(9,EA16:EA1048576)</f>
        <v/>
      </c>
      <c r="EB14" s="111">
        <f>SUBTOTAL(9,EB16:EB1048576)</f>
        <v/>
      </c>
      <c r="EC14" s="111">
        <f>SUBTOTAL(9,EC16:EC1048576)</f>
        <v/>
      </c>
      <c r="ED14" s="111">
        <f>SUBTOTAL(9,ED16:ED1048576)</f>
        <v/>
      </c>
      <c r="EE14" s="111">
        <f>SUBTOTAL(9,EE16:EE1048576)</f>
        <v/>
      </c>
      <c r="EF14" s="111">
        <f>SUBTOTAL(9,EF16:EF1048576)</f>
        <v/>
      </c>
      <c r="EG14" s="118" t="n"/>
      <c r="EH14" s="111">
        <f>SUBTOTAL(9,EH16:EH1048576)</f>
        <v/>
      </c>
      <c r="EI14" s="111">
        <f>SUBTOTAL(9,EI16:EI1048576)</f>
        <v/>
      </c>
      <c r="EJ14" s="111">
        <f>SUBTOTAL(9,EJ16:EJ1048576)</f>
        <v/>
      </c>
      <c r="EK14" s="111">
        <f>SUBTOTAL(9,EK16:EK1048576)</f>
        <v/>
      </c>
      <c r="EL14" s="111">
        <f>SUBTOTAL(9,EL16:EL1048576)</f>
        <v/>
      </c>
      <c r="EM14" s="111">
        <f>SUBTOTAL(9,EM16:EM1048576)</f>
        <v/>
      </c>
      <c r="EN14" s="111">
        <f>SUBTOTAL(9,EN16:EN1048576)</f>
        <v/>
      </c>
      <c r="EO14" s="111">
        <f>SUBTOTAL(9,EO16:EO1048576)</f>
        <v/>
      </c>
      <c r="EP14" s="23" t="n"/>
      <c r="EQ14" s="23" t="n"/>
      <c r="ER14" s="28">
        <f t="array" ref="ER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
{"AMS";"RussOutdoor";"HD Outdoor";"Ingroup";"IQ";"Ledproduction";"LisChannel";"Logic";"Media-PPL";"NovikovTV | НовиковТВ";"SMA";"SOK";"КрокусТВ | CrocusTV | IndoorTV";"Сити";"ТЯК Москва"},
0)),"")</f>
        <v/>
      </c>
      <c r="ES14" s="58" t="n"/>
      <c r="ET14" s="58">
        <f t="array" ref="ET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
{"AMS";"RussOutdoor";"HD Outdoor";"Ingroup";"IQ";"Ledproduction";"LisChannel";"Logic";"Media-PPL";"NovikovTV | НовиковТВ";"SMA";"SOK";"КрокусТВ | CrocusTV | IndoorTV";"Сити";"ТЯК Москва"},
0)),"")</f>
        <v/>
      </c>
      <c r="EU14" s="58" t="n"/>
      <c r="EV14" s="58" t="n"/>
      <c r="EX14" s="78" t="n"/>
      <c r="EY14" s="78" t="n"/>
    </row>
    <row r="15" ht="69.95" customFormat="1" customHeight="1" s="78">
      <c r="A15" s="2" t="inlineStr">
        <is>
          <t>№</t>
        </is>
      </c>
      <c r="B15" s="17" t="inlineStr">
        <is>
          <t>Заказчик</t>
        </is>
      </c>
      <c r="C15" s="17" t="inlineStr">
        <is>
          <t>Бренд</t>
        </is>
      </c>
      <c r="D15" s="2" t="inlineStr">
        <is>
          <t>Округ/регион</t>
        </is>
      </c>
      <c r="E15" s="2" t="inlineStr">
        <is>
          <t>Регион/
область</t>
        </is>
      </c>
      <c r="F15" s="13" t="inlineStr">
        <is>
          <t>Населенный 
пункт</t>
        </is>
      </c>
      <c r="G15" s="2" t="inlineStr">
        <is>
          <t>Адрес/ 
маршрут</t>
        </is>
      </c>
      <c r="H15" s="2" t="inlineStr">
        <is>
          <t>Округ</t>
        </is>
      </c>
      <c r="I15" s="2" t="inlineStr">
        <is>
          <t>Район</t>
        </is>
      </c>
      <c r="J15" s="2" t="inlineStr">
        <is>
          <t>Долгота</t>
        </is>
      </c>
      <c r="K15" s="2" t="inlineStr">
        <is>
          <t>Широта</t>
        </is>
      </c>
      <c r="L15" s="2" t="inlineStr">
        <is>
          <t>Назначение</t>
        </is>
      </c>
      <c r="M15" s="2" t="inlineStr">
        <is>
          <t>Наименование</t>
        </is>
      </c>
      <c r="N15" s="2" t="inlineStr">
        <is>
          <t>Расположение/ доп.информация</t>
        </is>
      </c>
      <c r="O15" s="2" t="inlineStr">
        <is>
          <t>Категория/ 
Класс/ 
Средний чек</t>
        </is>
      </c>
      <c r="P15" s="1" t="inlineStr">
        <is>
          <t>Тип</t>
        </is>
      </c>
      <c r="Q15" s="1" t="inlineStr">
        <is>
          <t>Формат</t>
        </is>
      </c>
      <c r="R15" s="1" t="inlineStr">
        <is>
          <t>Вид</t>
        </is>
      </c>
      <c r="S15" s="1" t="inlineStr">
        <is>
          <t>Кол-во 
сторон/
сторона</t>
        </is>
      </c>
      <c r="T15" s="1" t="inlineStr">
        <is>
          <t>Описание</t>
        </is>
      </c>
      <c r="U15" s="1" t="inlineStr">
        <is>
          <t>Расположение</t>
        </is>
      </c>
      <c r="V15" s="2" t="inlineStr">
        <is>
          <t>Материал</t>
        </is>
      </c>
      <c r="W15" s="2" t="inlineStr">
        <is>
          <t>Размер, 
м</t>
        </is>
      </c>
      <c r="X15" s="2" t="inlineStr">
        <is>
          <t>Площадь, кв.м</t>
        </is>
      </c>
      <c r="Y15" s="2" t="inlineStr">
        <is>
          <t>Разрешение, 
pix</t>
        </is>
      </c>
      <c r="Z15" s="10" t="inlineStr">
        <is>
          <t>Кол-во РН 
(min)</t>
        </is>
      </c>
      <c r="AA15" s="10" t="inlineStr">
        <is>
          <t>Кол-во РН 
(max)</t>
        </is>
      </c>
      <c r="AB15" s="2" t="inlineStr">
        <is>
          <t>Кол-во РН 
(РК)</t>
        </is>
      </c>
      <c r="AC15" s="2" t="inlineStr">
        <is>
          <t>Свет</t>
        </is>
      </c>
      <c r="AD15" s="2" t="inlineStr">
        <is>
          <t>Звук</t>
        </is>
      </c>
      <c r="AE15" s="2" t="inlineStr">
        <is>
          <t>Фото</t>
        </is>
      </c>
      <c r="AF15" s="2" t="inlineStr">
        <is>
          <t>Карта/ Схема/ Локация</t>
        </is>
      </c>
      <c r="AG15" s="2" t="inlineStr">
        <is>
          <t>Хронометраж, сек</t>
        </is>
      </c>
      <c r="AH15" s="2" t="inlineStr">
        <is>
          <t>Размер блока, сек</t>
        </is>
      </c>
      <c r="AI15" s="2" t="inlineStr">
        <is>
          <t>Кол-во выходов в блоке</t>
        </is>
      </c>
      <c r="AJ15" s="2" t="inlineStr">
        <is>
          <t>Время работы</t>
        </is>
      </c>
      <c r="AK15" s="2" t="inlineStr">
        <is>
          <t>Кол-во часов работы</t>
        </is>
      </c>
      <c r="AL15" s="3" t="inlineStr">
        <is>
          <t>Кол-во показов в день</t>
        </is>
      </c>
      <c r="AM15" s="3" t="inlineStr">
        <is>
          <t>Кол-во минут в день</t>
        </is>
      </c>
      <c r="AN15" s="2" t="inlineStr">
        <is>
          <t>Доля эфира, 
%</t>
        </is>
      </c>
      <c r="AO15" s="2" t="inlineStr">
        <is>
          <t>Кол-во показов за период</t>
        </is>
      </c>
      <c r="AP15" s="3" t="inlineStr">
        <is>
          <t>Кол-во минут за период</t>
        </is>
      </c>
      <c r="AQ15" s="3" t="inlineStr">
        <is>
          <t>GID</t>
        </is>
      </c>
      <c r="AR15" s="10" t="inlineStr">
        <is>
          <t>Трафик, чел./месяц</t>
        </is>
      </c>
      <c r="AS15" s="3" t="inlineStr">
        <is>
          <t>OTS, daily</t>
        </is>
      </c>
      <c r="AT15" s="3" t="inlineStr">
        <is>
          <t>OTS, month</t>
        </is>
      </c>
      <c r="AU15" s="11" t="inlineStr">
        <is>
          <t>GRP</t>
        </is>
      </c>
      <c r="AV15" s="3" t="inlineStr">
        <is>
          <t>CPT</t>
        </is>
      </c>
      <c r="AW15" s="2" t="inlineStr">
        <is>
          <t>Дата 
начала</t>
        </is>
      </c>
      <c r="AX15" s="2" t="inlineStr">
        <is>
          <t>Дата окончания</t>
        </is>
      </c>
      <c r="AY15" s="2" t="inlineStr">
        <is>
          <t>Кол-во дней размещения</t>
        </is>
      </c>
      <c r="AZ15" s="4" t="n">
        <v>45658</v>
      </c>
      <c r="BA15" s="4" t="n">
        <v>45689</v>
      </c>
      <c r="BB15" s="4" t="n">
        <v>45717</v>
      </c>
      <c r="BC15" s="4" t="n">
        <v>45748</v>
      </c>
      <c r="BD15" s="4" t="n">
        <v>45778</v>
      </c>
      <c r="BE15" s="4" t="n">
        <v>45809</v>
      </c>
      <c r="BF15" s="4" t="n">
        <v>45839</v>
      </c>
      <c r="BG15" s="4" t="n">
        <v>45870</v>
      </c>
      <c r="BH15" s="4" t="n">
        <v>45901</v>
      </c>
      <c r="BI15" s="4" t="n">
        <v>45931</v>
      </c>
      <c r="BJ15" s="4" t="n">
        <v>45962</v>
      </c>
      <c r="BK15" s="4" t="n">
        <v>45992</v>
      </c>
      <c r="BL15" s="5" t="inlineStr">
        <is>
          <t>МСЯЦЕВ</t>
        </is>
      </c>
      <c r="BM15" s="16" t="inlineStr">
        <is>
          <t>ПАКЕТ</t>
        </is>
      </c>
      <c r="BN15" s="15" t="inlineStr">
        <is>
          <t>ПРАЙС, 
стоимость за 
РАЗМЕЩЕНИЕ 
за КОЛ-ВО/МЕСЯЦ, 
руб., NET</t>
        </is>
      </c>
      <c r="BO15" s="1" t="inlineStr">
        <is>
          <t>Скидка</t>
        </is>
      </c>
      <c r="BP15" s="2" t="inlineStr">
        <is>
          <t>Стоимость за 
РАЗМЕЩЕНИЕ
С УЧЕТОМ СКИДКИ, 
руб., NET</t>
        </is>
      </c>
      <c r="BQ15" s="2" t="inlineStr">
        <is>
          <t>Стоимость за 
РАЗМЕЩЕНИЕ
(ЯНВАРЬ), 
руб., NET</t>
        </is>
      </c>
      <c r="BR15" s="2" t="inlineStr">
        <is>
          <t>Стоимость за 
РАЗМЕЩЕНИЕ
(ФЕВРАЛЬ), 
руб., NET</t>
        </is>
      </c>
      <c r="BS15" s="2" t="inlineStr">
        <is>
          <t>Стоимость за 
РАЗМЕЩЕНИЕ
(МАРТ), 
руб., NET</t>
        </is>
      </c>
      <c r="BT15" s="2" t="inlineStr">
        <is>
          <t>Стоимость за 
РАЗМЕЩЕНИЕ
(АПРЕЛЬ), 
руб., NET</t>
        </is>
      </c>
      <c r="BU15" s="2" t="inlineStr">
        <is>
          <t>Стоимость за 
РАЗМЕЩЕНИЕ
(МАЙ), 
руб., NET</t>
        </is>
      </c>
      <c r="BV15" s="2" t="inlineStr">
        <is>
          <t>Стоимость за 
РАЗМЕЩЕНИЕ
(ИЮНЬ), 
руб., NET</t>
        </is>
      </c>
      <c r="BW15" s="2" t="inlineStr">
        <is>
          <t>Стоимость за 
РАЗМЕЩЕНИЕ
(ИЮЛЬ), 
руб., NET</t>
        </is>
      </c>
      <c r="BX15" s="2" t="inlineStr">
        <is>
          <t>Стоимость за 
РАЗМЕЩЕНИЕ
(АВГУСТ), 
руб., NET</t>
        </is>
      </c>
      <c r="BY15" s="2" t="inlineStr">
        <is>
          <t>Стоимость за 
РАЗМЕЩЕНИЕ
(СЕНТЯБРЬ), 
руб., NET</t>
        </is>
      </c>
      <c r="BZ15" s="2" t="inlineStr">
        <is>
          <t>Стоимость за 
РАЗМЕЩЕНИЕ
(ОКТЯБРЬ), 
руб., NET</t>
        </is>
      </c>
      <c r="CA15" s="2" t="inlineStr">
        <is>
          <t>Стоимость за 
РАЗМЕЩЕНИЕ
(НОЯБРЬ), 
руб., NET</t>
        </is>
      </c>
      <c r="CB15" s="2" t="inlineStr">
        <is>
          <t>Стоимость за 
РАЗМЕЩЕНИЕ
(ДЕКАБРЬ), 
руб., NET</t>
        </is>
      </c>
      <c r="CC15" s="2" t="inlineStr">
        <is>
          <t>ИТОГО 
стоимость за 
РАЗМЕЩЕНИЕ, 
руб., NET</t>
        </is>
      </c>
      <c r="CD15" s="15" t="inlineStr">
        <is>
          <t>Единоразовая стоимость за
ПРОИЗВОДСТВО 
за ШТ., 
руб., NET</t>
        </is>
      </c>
      <c r="CE15" s="15" t="inlineStr">
        <is>
          <t>ИТОГО 
cтоимость за 
ПРОИЗВОДСТВО, 
руб., NET</t>
        </is>
      </c>
      <c r="CF15" s="15" t="inlineStr">
        <is>
          <t>Единоразовая стоимость за
МОНТАЖ, 
за ШТ., 
руб., NET</t>
        </is>
      </c>
      <c r="CG15" s="15" t="inlineStr">
        <is>
          <t>ИТОГО 
cтоимость за
МОНТАЖ, 
руб., NET</t>
        </is>
      </c>
      <c r="CH15" s="15" t="inlineStr">
        <is>
          <t>ИТОГО 
за все услуги, 
руб., NET</t>
        </is>
      </c>
      <c r="CI15" s="15" t="inlineStr">
        <is>
          <t>ИТОГО 
за все услуги, 
руб., GROSS</t>
        </is>
      </c>
      <c r="CJ15" s="15" t="inlineStr">
        <is>
          <t>АК, 
%</t>
        </is>
      </c>
      <c r="CK15" s="15" t="inlineStr">
        <is>
          <t>ВСЕГО,  
руб., NET</t>
        </is>
      </c>
      <c r="CL15" s="15" t="inlineStr">
        <is>
          <t>ВСЕГО,  
руб., GROSS</t>
        </is>
      </c>
      <c r="CM15" s="2" t="inlineStr">
        <is>
          <t>Налог, %</t>
        </is>
      </c>
      <c r="CN15" s="2" t="inlineStr">
        <is>
          <t>Форма налогообложения заказчика (УСНО/ОСН)</t>
        </is>
      </c>
      <c r="CO15" s="1" t="inlineStr">
        <is>
          <t>Комментарии</t>
        </is>
      </c>
      <c r="CP15" s="9" t="inlineStr">
        <is>
          <t>ТТ</t>
        </is>
      </c>
      <c r="CQ15" s="1" t="inlineStr">
        <is>
          <t>DL 
отказа без штрафов</t>
        </is>
      </c>
      <c r="CR15" s="1" t="inlineStr">
        <is>
          <t>DL 
согласования креатива РИМ</t>
        </is>
      </c>
      <c r="CS15" s="1" t="inlineStr">
        <is>
          <t>DL 
предоставления РИМ</t>
        </is>
      </c>
      <c r="CT15" s="1" t="inlineStr">
        <is>
          <t>Отчет
(объем, форма, сроки)</t>
        </is>
      </c>
      <c r="CU15" s="79" t="inlineStr">
        <is>
          <t> </t>
        </is>
      </c>
      <c r="CV15" s="17" t="inlineStr">
        <is>
          <t>СТАТУС</t>
        </is>
      </c>
      <c r="CW15" s="22" t="inlineStr">
        <is>
          <t>доп.%</t>
        </is>
      </c>
      <c r="CX15" s="22" t="inlineStr">
        <is>
          <t>Юр.лицо 
агентства</t>
        </is>
      </c>
      <c r="CY15" s="18" t="inlineStr">
        <is>
          <t>МАРЖ. за 
РАЗМЕЩЕНИЕ, 
%</t>
        </is>
      </c>
      <c r="CZ15" s="18" t="inlineStr">
        <is>
          <t>МАРЖ. за 
ПРОИЗВОДСТВО, 
%</t>
        </is>
      </c>
      <c r="DA15" s="18" t="inlineStr">
        <is>
          <t>МАРЖ. за 
ДЕ/МОНТАЖ, 
%</t>
        </is>
      </c>
      <c r="DB15" s="18" t="inlineStr">
        <is>
          <t>ВСЕГО
МАРЖ., 
руб., NET</t>
        </is>
      </c>
      <c r="DC15" s="21" t="inlineStr">
        <is>
          <t>Кол-во 
ФО/ 
месяц</t>
        </is>
      </c>
      <c r="DD15" s="20" t="inlineStr">
        <is>
          <t>ПРАЙС 
стоимость за 
единоразовый ФО, 
руб., NET</t>
        </is>
      </c>
      <c r="DE15" s="20" t="inlineStr">
        <is>
          <t>% 
бесплатного 
ФО</t>
        </is>
      </c>
      <c r="DF15" s="20" t="inlineStr">
        <is>
          <t>Частота бесплатного ФО в месяц</t>
        </is>
      </c>
      <c r="DG15" s="20" t="inlineStr">
        <is>
          <t>Стоимость за 
ФО/МЕСЯЦ
с учетом % бесплатного ФО, 
руб., NET</t>
        </is>
      </c>
      <c r="DH15" s="2" t="inlineStr">
        <is>
          <t>Тип расчетов стоимости размещения</t>
        </is>
      </c>
      <c r="DI15" s="12" t="inlineStr">
        <is>
          <t>БАЗОВЫЙ ПРАЙС, 
стоимость размещения за 
КОЛ-ВО/МЕСЯЦ, 
руб., NET</t>
        </is>
      </c>
      <c r="DJ15" s="12" t="inlineStr">
        <is>
          <t>ПРАЙС, 
стоимость размещения за 
КОЛ-ВО/МЕСЯЦ+ФО, 
руб., NET</t>
        </is>
      </c>
      <c r="DK15" s="1" t="inlineStr">
        <is>
          <t>Тип 
расчета 
итоговой
скидки</t>
        </is>
      </c>
      <c r="DL15" s="1" t="inlineStr">
        <is>
          <t>Скидка 1
%</t>
        </is>
      </c>
      <c r="DM15" s="1" t="inlineStr">
        <is>
          <t>Скидка 2
%</t>
        </is>
      </c>
      <c r="DN15" s="1" t="inlineStr">
        <is>
          <t>Скидка 3
%</t>
        </is>
      </c>
      <c r="DO15" s="1" t="inlineStr">
        <is>
          <t>Скидка 4
%</t>
        </is>
      </c>
      <c r="DP15" s="1" t="inlineStr">
        <is>
          <t>Скидка 5
%</t>
        </is>
      </c>
      <c r="DQ15" s="1" t="inlineStr">
        <is>
          <t>ИТОГОВАЯ Скидка</t>
        </is>
      </c>
      <c r="DR15" s="2" t="inlineStr">
        <is>
          <t>Стоимость за 
РАЗМЕЩЕНИЕ
С УЧЕТОМ СКИДКИ, 
руб., NET</t>
        </is>
      </c>
      <c r="DS15" s="2" t="inlineStr">
        <is>
          <t>Стоимость за 
РАЗМЕЩЕНИЕ
(ЯНВАРЬ), 
руб., NET</t>
        </is>
      </c>
      <c r="DT15" s="2" t="inlineStr">
        <is>
          <t>Стоимость за 
РАЗМЕЩЕНИЕ
(ФЕВРАЛЬ), 
руб., NET</t>
        </is>
      </c>
      <c r="DU15" s="2" t="inlineStr">
        <is>
          <t>Стоимость за 
РАЗМЕЩЕНИЕ
(МАРТ), 
руб., NET</t>
        </is>
      </c>
      <c r="DV15" s="2" t="inlineStr">
        <is>
          <t>Стоимость за 
РАЗМЕЩЕНИЕ
(АПРЕЛЬ), 
руб., NET</t>
        </is>
      </c>
      <c r="DW15" s="2" t="inlineStr">
        <is>
          <t>Стоимость за 
РАЗМЕЩЕНИЕ
(МАЙ), 
руб., NET</t>
        </is>
      </c>
      <c r="DX15" s="2" t="inlineStr">
        <is>
          <t>Стоимость за 
РАЗМЕЩЕНИЕ
(ИЮНЬ), 
руб., NET</t>
        </is>
      </c>
      <c r="DY15" s="2" t="inlineStr">
        <is>
          <t>Стоимость за 
РАЗМЕЩЕНИЕ
(ИЮЛЬ), 
руб., NET</t>
        </is>
      </c>
      <c r="DZ15" s="2" t="inlineStr">
        <is>
          <t>Стоимость за 
РАЗМЕЩЕНИЕ
(АВГУСТ), 
руб., NET</t>
        </is>
      </c>
      <c r="EA15" s="2" t="inlineStr">
        <is>
          <t>Стоимость за 
РАЗМЕЩЕНИЕ
(СЕНТЯБРЬ), 
руб., NET</t>
        </is>
      </c>
      <c r="EB15" s="2" t="inlineStr">
        <is>
          <t>Стоимость за 
РАЗМЕЩЕНИЕ
(ОКТЯБРЬ), 
руб., NET</t>
        </is>
      </c>
      <c r="EC15" s="2" t="inlineStr">
        <is>
          <t>Стоимость за 
РАЗМЕЩЕНИЕ
(НОЯБРЬ), 
руб., NET</t>
        </is>
      </c>
      <c r="ED15" s="2" t="inlineStr">
        <is>
          <t>Стоимость за 
РАЗМЕЩЕНИЕ
(ДЕКАБРЬ), 
руб., NET</t>
        </is>
      </c>
      <c r="EE15" s="13" t="inlineStr">
        <is>
          <t>ИТОГО 
стоимость за 
РАЗМЕЩЕНИЕ, 
руб., NET</t>
        </is>
      </c>
      <c r="EF15" s="13" t="inlineStr">
        <is>
          <t>ИТОГО 
стоимость за 
РАЗМЕЩЕНИЕ, 
руб., GROSS</t>
        </is>
      </c>
      <c r="EG15" s="14" t="inlineStr">
        <is>
          <t>Кол-во 
ПМД</t>
        </is>
      </c>
      <c r="EH15" s="12" t="inlineStr">
        <is>
          <t>Единоразовая стоимость за
ПРОИЗВОДСТВО 
за ШТ., 
руб., NET</t>
        </is>
      </c>
      <c r="EI15" s="12" t="inlineStr">
        <is>
          <t>Единоразовая стоимость за
ПРОИЗВОДСТВО 
за КОЛ-ВО, 
руб., NET</t>
        </is>
      </c>
      <c r="EJ15" s="12" t="inlineStr">
        <is>
          <t>ИТОГО 
стоимость за 
ПРОИЗВОДСТВО, 
руб., GROSS</t>
        </is>
      </c>
      <c r="EK15" s="12" t="inlineStr">
        <is>
          <t>Единоразовая стоимость за
МОНТАЖ, 
за ШТ., 
руб., NET</t>
        </is>
      </c>
      <c r="EL15" s="12" t="inlineStr">
        <is>
          <t>Единоразовая стоимость за
МОНТАЖ, 
за КОЛ-ВО, 
руб., NET</t>
        </is>
      </c>
      <c r="EM15" s="12" t="inlineStr">
        <is>
          <t>ИТОГО 
стоимость за
МОНТАЖ, 
руб., GROSS</t>
        </is>
      </c>
      <c r="EN15" s="12" t="inlineStr">
        <is>
          <t>ВСЕГО, 
руб., NET</t>
        </is>
      </c>
      <c r="EO15" s="12" t="inlineStr">
        <is>
          <t>ВСЕГО, 
руб., GROSS</t>
        </is>
      </c>
      <c r="EP15" s="2" t="inlineStr">
        <is>
          <t>Налог, %</t>
        </is>
      </c>
      <c r="EQ15" s="2" t="inlineStr">
        <is>
          <t>Форма налогообложения поставщика (УСНО/ОСН)</t>
        </is>
      </c>
      <c r="ER15" s="1" t="inlineStr">
        <is>
          <t>Условия 
оплаты</t>
        </is>
      </c>
      <c r="ES15" s="1" t="inlineStr">
        <is>
          <t>Подрядчик</t>
        </is>
      </c>
      <c r="ET15" s="1" t="inlineStr">
        <is>
          <t>Юр.лицо</t>
        </is>
      </c>
      <c r="EU15" s="1" t="inlineStr">
        <is>
          <t>Владение</t>
        </is>
      </c>
      <c r="EV15" s="1" t="inlineStr">
        <is>
          <t>Примечание</t>
        </is>
      </c>
    </row>
    <row r="16">
      <c r="A16" s="59" t="n"/>
      <c r="B16" s="60" t="n"/>
      <c r="C16" s="60" t="n"/>
      <c r="D16" s="60">
        <f t="array" ref="D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 s="60">
        <f t="array" ref="E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 s="60" t="inlineStr"/>
      <c r="G16" s="60" t="n"/>
      <c r="H16" s="60">
        <f t="array" ref="H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 s="60" t="n"/>
      <c r="J16" s="60" t="n"/>
      <c r="K16" s="60" t="n"/>
      <c r="L16" s="60" t="n"/>
      <c r="M16" s="60" t="n"/>
      <c r="N16" s="60" t="n"/>
      <c r="O16" s="60" t="n"/>
      <c r="P16" s="60">
        <f t="array" ref="P16">
_xlfn.IFS(
ISNUMBER(MATCH($Q16,{"шелфбаннер","разделитель","монетница","чековая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ISNUMBER(MATCH($Q16,{"каталог","журнал"},)),
"Пресса",
$Q16="","")</f>
        <v/>
      </c>
      <c r="Q16" s="60" t="n"/>
      <c r="R16" s="60">
        <f t="array" ref="R16">
IFERROR(
_xlfn.IFS(
OR(ISNUMBER(MATCH($Q16,{"экспозиция","макет","стенд","автостенд","авто стенд","выставочное пространство","выставочные стенды","модульные выставочные стенды","3Д конструкция","3D конструкция"},)),P16="Экспонирование"),
"нестандартный",
ISNUMBER(MATCH($Q16,{"скроллер","призматрон"},)),
"динамический",
$P16="Видео",
"цифровой",
OR($P16="Пресса",$P16="Щит",$P16="POSm",$P16="Подвес",$P16="Брендирование/оклейка"),
"статический"),"")</f>
        <v/>
      </c>
      <c r="S16" s="59" t="n"/>
      <c r="T16" s="60" t="n"/>
      <c r="U16" s="60" t="n"/>
      <c r="V16" s="60">
        <f>
IF(P16="Видео",
"цифровой постер/ролик",
IF(ISNUMBER(MATCH(Q16,{"короб световой","короб световой | лайтбокс","короб световой | кристалайт","лайтбокс","лайт бокс","кристалайт","LB","lightbox"},)),
"бэклит",
IF(P16="Брендирование/оклейка",
"перфарированная пленка/самоклейка",
IF(P16="Экспонирование",
"под запрос",
IF(P16="Подвес",
"баннер/ткань",
"")))))</f>
        <v/>
      </c>
      <c r="W16" s="59" t="n"/>
      <c r="X16" s="59" t="n"/>
      <c r="Y16" s="59" t="n"/>
      <c r="Z16" s="61" t="n"/>
      <c r="AA16" s="61" t="n"/>
      <c r="AB16" s="61">
        <f>IF(BL16&gt;0,Z16,0)</f>
        <v/>
      </c>
      <c r="AC16" s="59" t="n"/>
      <c r="AD16" s="59" t="n"/>
      <c r="AE16" s="59" t="n"/>
      <c r="AF16" s="59" t="n"/>
      <c r="AG16" s="59" t="n">
        <v>16</v>
      </c>
      <c r="AH16" s="59" t="e">
        <v>#VALUE!</v>
      </c>
      <c r="AI16" s="59" t="n"/>
      <c r="AJ16" s="59" t="n"/>
      <c r="AK16" s="59" t="n"/>
      <c r="AL16" s="62">
        <f>IFERROR(IF(OR(R16="статический",R16="динамический",R16="нестандартный",R16="",R16=""),"-",IF(AND(AH16="-",AI16="-"),"-",AK16*3600/AH16*AI16)),"-")</f>
        <v/>
      </c>
      <c r="AM16" s="62">
        <f>IFERROR(IF(OR(R16="статический",R16="динамический",R16="",R16="", R16="BTL",R16="нестандартный"),"-",AG16*AI16*AL16/60),"-")</f>
        <v/>
      </c>
      <c r="AN16" s="63">
        <f>IFERROR(IF(AH16="","-",AG16*AI16/AH16),"-")</f>
        <v/>
      </c>
      <c r="AO16" s="59">
        <f>IFERROR(IF(OR($R16="статический",$R16="динамический",$R16="",$R16="",$R16="BTL",$R16="нестандартный"),"-",$AL16*$AY16),"-")</f>
        <v/>
      </c>
      <c r="AP16" s="62">
        <f>IFERROR(IF(OR($R16="статический",$R16="динамический",$R16="",$R16="",$R16="BTL",$R16="нестандартный"),"-",$AM16*AY16),"-")</f>
        <v/>
      </c>
      <c r="AQ16" s="64" t="n"/>
      <c r="AR16" s="61" t="n"/>
      <c r="AS16" s="61" t="n"/>
      <c r="AT16" s="61" t="n"/>
      <c r="AU16" s="65" t="n"/>
      <c r="AV16" s="120">
        <f>IFERROR(DR16/AT16*1000,"n/a")</f>
        <v/>
      </c>
      <c r="AW16" s="67" t="n"/>
      <c r="AX16" s="67" t="n"/>
      <c r="AY16" s="43">
        <f>IFERROR(IF(OR($AW16="",$AX16=""),"",_xlfn.DAYS($AX16+1,$AW16)),"")</f>
        <v/>
      </c>
      <c r="AZ16" s="68">
        <f t="array" ref="AZ16">
_xlfn.LET(_xlpm.COEFF,
IF($AW16+$AX16=0,0,IF(MAX(MIN($AX16,EOMONTH(AZ$15,0))-MAX($AW16,AZ$15)+1,)&gt;0,1,0)),
_xlfn.IFS(
$ES16="LisChannel",
_xlpm.COEFF*
INDEX({1;1;1.2;1.2;1;1;1;1;1.2;1.2;1.2;1.2},
MATCH(MONTH(AZ$15),
{1,2,3,4,5,6,7,8,9,10,11,12})),
CONCATENATE($ES16," ",$L16)="RussOutdoor метро",
_xlpm.COEFF*
INDEX({0.8;0.9;1.1;1.1;1;1;1;1;1.1;1.1;1.1;1.1},
MATCH(MONTH(AZ$15),
{1,2,3,4,5,6,7,8,9,10,11,12})),
$ES16&lt;&gt;"LisChannel",
_xlpm.COEFF,
$ES16&lt;&gt;"RussOutdoor",
_xlpm.COEFF))</f>
        <v/>
      </c>
      <c r="BA16" s="68">
        <f t="array" ref="BA16">
_xlfn.LET(_xlpm.COEFF,
IF($AW16+$AX16=0,0,IF(MAX(MIN($AX16,EOMONTH(BA$15,0))-MAX($AW16,BA$15)+1,)&gt;0,1,0)),
_xlfn.IFS(
$ES16="LisChannel",
_xlpm.COEFF*
INDEX({1;1;1.2;1.2;1;1;1;1;1.2;1.2;1.2;1.2},
MATCH(MONTH(BA$15),
{1,2,3,4,5,6,7,8,9,10,11,12})),
CONCATENATE($ES16," ",$L16)="RussOutdoor метро",
_xlpm.COEFF*
INDEX({0.8;0.9;1.1;1.1;1;1;1;1;1.1;1.1;1.1;1.1},
MATCH(MONTH(BA$15),
{1,2,3,4,5,6,7,8,9,10,11,12})),
$ES16&lt;&gt;"LisChannel",
_xlpm.COEFF,
$ES16&lt;&gt;"RussOutdoor",
_xlpm.COEFF))</f>
        <v/>
      </c>
      <c r="BB16" s="68">
        <f t="array" ref="BB16">
_xlfn.LET(_xlpm.COEFF,
IF($AW16+$AX16=0,0,IF(MAX(MIN($AX16,EOMONTH(BB$15,0))-MAX($AW16,BB$15)+1,)&gt;0,1,0)),
_xlfn.IFS(
$ES16="LisChannel",
_xlpm.COEFF*
INDEX({1;1;1.2;1.2;1;1;1;1;1.2;1.2;1.2;1.2},
MATCH(MONTH(BB$15),
{1,2,3,4,5,6,7,8,9,10,11,12})),
CONCATENATE($ES16," ",$L16)="RussOutdoor метро",
_xlpm.COEFF*
INDEX({0.8;0.9;1.1;1.1;1;1;1;1;1.1;1.1;1.1;1.1},
MATCH(MONTH(BB$15),
{1,2,3,4,5,6,7,8,9,10,11,12})),
$ES16&lt;&gt;"LisChannel",
_xlpm.COEFF,
$ES16&lt;&gt;"RussOutdoor",
_xlpm.COEFF))</f>
        <v/>
      </c>
      <c r="BC16" s="68">
        <f t="array" ref="BC16">
_xlfn.LET(_xlpm.COEFF,
IF($AW16+$AX16=0,0,IF(MAX(MIN($AX16,EOMONTH(BC$15,0))-MAX($AW16,BC$15)+1,)&gt;0,1,0)),
_xlfn.IFS(
$ES16="LisChannel",
_xlpm.COEFF*
INDEX({1;1;1.2;1.2;1;1;1;1;1.2;1.2;1.2;1.2},
MATCH(MONTH(BC$15),
{1,2,3,4,5,6,7,8,9,10,11,12})),
CONCATENATE($ES16," ",$L16)="RussOutdoor метро",
_xlpm.COEFF*
INDEX({0.8;0.9;1.1;1.1;1;1;1;1;1.1;1.1;1.1;1.1},
MATCH(MONTH(BC$15),
{1,2,3,4,5,6,7,8,9,10,11,12})),
$ES16&lt;&gt;"LisChannel",
_xlpm.COEFF,
$ES16&lt;&gt;"RussOutdoor",
_xlpm.COEFF))</f>
        <v/>
      </c>
      <c r="BD16" s="68">
        <f t="array" ref="BD16">
_xlfn.LET(_xlpm.COEFF,
IF($AW16+$AX16=0,0,IF(MAX(MIN($AX16,EOMONTH(BD$15,0))-MAX($AW16,BD$15)+1,)&gt;0,1,0)),
_xlfn.IFS(
$ES16="LisChannel",
_xlpm.COEFF*
INDEX({1;1;1.2;1.2;1;1;1;1;1.2;1.2;1.2;1.2},
MATCH(MONTH(BD$15),
{1,2,3,4,5,6,7,8,9,10,11,12})),
CONCATENATE($ES16," ",$L16)="RussOutdoor метро",
_xlpm.COEFF*
INDEX({0.8;0.9;1.1;1.1;1;1;1;1;1.1;1.1;1.1;1.1},
MATCH(MONTH(BD$15),
{1,2,3,4,5,6,7,8,9,10,11,12})),
$ES16&lt;&gt;"LisChannel",
_xlpm.COEFF,
$ES16&lt;&gt;"RussOutdoor",
_xlpm.COEFF))</f>
        <v/>
      </c>
      <c r="BE16" s="68">
        <f t="array" ref="BE16">
_xlfn.LET(_xlpm.COEFF,
IF($AW16+$AX16=0,0,IF(MAX(MIN($AX16,EOMONTH(BE$15,0))-MAX($AW16,BE$15)+1,)&gt;0,1,0)),
_xlfn.IFS(
$ES16="LisChannel",
_xlpm.COEFF*
INDEX({1;1;1.2;1.2;1;1;1;1;1.2;1.2;1.2;1.2},
MATCH(MONTH(BE$15),
{1,2,3,4,5,6,7,8,9,10,11,12})),
CONCATENATE($ES16," ",$L16)="RussOutdoor метро",
_xlpm.COEFF*
INDEX({0.8;0.9;1.1;1.1;1;1;1;1;1.1;1.1;1.1;1.1},
MATCH(MONTH(BE$15),
{1,2,3,4,5,6,7,8,9,10,11,12})),
$ES16&lt;&gt;"LisChannel",
_xlpm.COEFF,
$ES16&lt;&gt;"RussOutdoor",
_xlpm.COEFF))</f>
        <v/>
      </c>
      <c r="BF16" s="68">
        <f t="array" ref="BF16">
_xlfn.LET(_xlpm.COEFF,
IF($AW16+$AX16=0,0,IF(MAX(MIN($AX16,EOMONTH(BF$15,0))-MAX($AW16,BF$15)+1,)&gt;0,1,0)),
_xlfn.IFS(
$ES16="LisChannel",
_xlpm.COEFF*
INDEX({1;1;1.2;1.2;1;1;1;1;1.2;1.2;1.2;1.2},
MATCH(MONTH(BF$15),
{1,2,3,4,5,6,7,8,9,10,11,12})),
CONCATENATE($ES16," ",$L16)="RussOutdoor метро",
_xlpm.COEFF*
INDEX({0.8;0.9;1.1;1.1;1;1;1;1;1.1;1.1;1.1;1.1},
MATCH(MONTH(BF$15),
{1,2,3,4,5,6,7,8,9,10,11,12})),
$ES16&lt;&gt;"LisChannel",
_xlpm.COEFF,
$ES16&lt;&gt;"RussOutdoor",
_xlpm.COEFF))</f>
        <v/>
      </c>
      <c r="BG16" s="68">
        <f t="array" ref="BG16">
_xlfn.LET(_xlpm.COEFF,
IF($AW16+$AX16=0,0,IF(MAX(MIN($AX16,EOMONTH(BG$15,0))-MAX($AW16,BG$15)+1,)&gt;0,1,0)),
_xlfn.IFS(
$ES16="LisChannel",
_xlpm.COEFF*
INDEX({1;1;1.2;1.2;1;1;1;1;1.2;1.2;1.2;1.2},
MATCH(MONTH(BG$15),
{1,2,3,4,5,6,7,8,9,10,11,12})),
CONCATENATE($ES16," ",$L16)="RussOutdoor метро",
_xlpm.COEFF*
INDEX({0.8;0.9;1.1;1.1;1;1;1;1;1.1;1.1;1.1;1.1},
MATCH(MONTH(BG$15),
{1,2,3,4,5,6,7,8,9,10,11,12})),
$ES16&lt;&gt;"LisChannel",
_xlpm.COEFF,
$ES16&lt;&gt;"RussOutdoor",
_xlpm.COEFF))</f>
        <v/>
      </c>
      <c r="BH16" s="68">
        <f t="array" ref="BH16">
_xlfn.LET(_xlpm.COEFF,
IF($AW16+$AX16=0,0,IF(MAX(MIN($AX16,EOMONTH(BH$15,0))-MAX($AW16,BH$15)+1,)&gt;0,1,0)),
_xlfn.IFS(
$ES16="LisChannel",
_xlpm.COEFF*
INDEX({1;1;1.2;1.2;1;1;1;1;1.2;1.2;1.2;1.2},
MATCH(MONTH(BH$15),
{1,2,3,4,5,6,7,8,9,10,11,12})),
CONCATENATE($ES16," ",$L16)="RussOutdoor метро",
_xlpm.COEFF*
INDEX({0.8;0.9;1.1;1.1;1;1;1;1;1.1;1.1;1.1;1.1},
MATCH(MONTH(BH$15),
{1,2,3,4,5,6,7,8,9,10,11,12})),
$ES16&lt;&gt;"LisChannel",
_xlpm.COEFF,
$ES16&lt;&gt;"RussOutdoor",
_xlpm.COEFF))</f>
        <v/>
      </c>
      <c r="BI16" s="68">
        <f t="array" ref="BI16">
_xlfn.LET(_xlpm.COEFF,
IF($AW16+$AX16=0,0,IF(MAX(MIN($AX16,EOMONTH(BI$15,0))-MAX($AW16,BI$15)+1,)&gt;0,1,0)),
_xlfn.IFS(
$ES16="LisChannel",
_xlpm.COEFF*
INDEX({1;1;1.2;1.2;1;1;1;1;1.2;1.2;1.2;1.2},
MATCH(MONTH(BI$15),
{1,2,3,4,5,6,7,8,9,10,11,12})),
CONCATENATE($ES16," ",$L16)="RussOutdoor метро",
_xlpm.COEFF*
INDEX({0.8;0.9;1.1;1.1;1;1;1;1;1.1;1.1;1.1;1.1},
MATCH(MONTH(BI$15),
{1,2,3,4,5,6,7,8,9,10,11,12})),
$ES16&lt;&gt;"LisChannel",
_xlpm.COEFF,
$ES16&lt;&gt;"RussOutdoor",
_xlpm.COEFF))</f>
        <v/>
      </c>
      <c r="BJ16" s="68">
        <f t="array" ref="BJ16">
_xlfn.LET(_xlpm.COEFF,
IF($AW16+$AX16=0,0,IF(MAX(MIN($AX16,EOMONTH(BJ$15,0))-MAX($AW16,BJ$15)+1,)&gt;0,1,0)),
_xlfn.IFS(
$ES16="LisChannel",
_xlpm.COEFF*
INDEX({1;1;1.2;1.2;1;1;1;1;1.2;1.2;1.2;1.2},
MATCH(MONTH(BJ$15),
{1,2,3,4,5,6,7,8,9,10,11,12})),
CONCATENATE($ES16," ",$L16)="RussOutdoor метро",
_xlpm.COEFF*
INDEX({0.8;0.9;1.1;1.1;1;1;1;1;1.1;1.1;1.1;1.1},
MATCH(MONTH(BJ$15),
{1,2,3,4,5,6,7,8,9,10,11,12})),
$ES16&lt;&gt;"LisChannel",
_xlpm.COEFF,
$ES16&lt;&gt;"RussOutdoor",
_xlpm.COEFF))</f>
        <v/>
      </c>
      <c r="BK16" s="68">
        <f t="array" ref="BK16">
_xlfn.LET(_xlpm.COEFF,
IF($AW16+$AX16=0,0,IF(MAX(MIN($AX16,EOMONTH(BK$15,0))-MAX($AW16,BK$15)+1,)&gt;0,1,0)),
_xlfn.IFS(
$ES16="LisChannel",
_xlpm.COEFF*
INDEX({1;1;1.2;1.2;1;1;1;1;1.2;1.2;1.2;1.2},
MATCH(MONTH(BK$15),
{1,2,3,4,5,6,7,8,9,10,11,12})),
CONCATENATE($ES16," ",$L16)="RussOutdoor метро",
_xlpm.COEFF*
INDEX({0.8;0.9;1.1;1.1;1;1;1;1;1.1;1.1;1.1;1.1},
MATCH(MONTH(BK$15),
{1,2,3,4,5,6,7,8,9,10,11,12})),
$ES16&lt;&gt;"LisChannel",
_xlpm.COEFF,
$ES16&lt;&gt;"RussOutdoor",
_xlpm.COEFF))</f>
        <v/>
      </c>
      <c r="BL16" s="62">
        <f>COUNTIFS($AZ16:$BK16,"&gt;0")</f>
        <v/>
      </c>
      <c r="BM16" s="65" t="n"/>
      <c r="BN16" s="121">
        <f>$DJ16</f>
        <v/>
      </c>
      <c r="BO16" s="63">
        <f>$DQ16</f>
        <v/>
      </c>
      <c r="BP16" s="121">
        <f>
IFERROR(
IF($BL16=0,0,
$BN16*(1-$BO16)),
0)</f>
        <v/>
      </c>
      <c r="BQ16" s="121">
        <f t="array" ref="BQ16">
IFERROR(
_xlfn.IFS(
$DH16="день_1",
$BP16*$BL16/($AX16-$AW16+1)*AZ16*(DAY(EOMONTH(AZ$15,0))),
$DH16="день_2",
$BP16/30*MAX(MIN($AX16,EOMONTH(AZ$15,0))-MAX($AW16,AZ$15)+1,),
$DH16="раб.день",
$BP16/30*(IFERROR(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$BP16*AZ16,
$DH16="неделя",
$BP16*AZ16/7*(ROUNDUP((DAY(EOMONTH(AZ$15,0)))/4,0))),
0)</f>
        <v/>
      </c>
      <c r="BR16" s="121">
        <f t="array" ref="BR16">
IFERROR(
_xlfn.IFS(
$DH16="день_1",
$BP16*$BL16/($AX16-$AW16+1)*BA16*(DAY(EOMONTH(BA$15,0))),
$DH16="день_2",
$BP16/30*MAX(MIN($AX16,EOMONTH(BA$15,0))-MAX($AW16,BA$15)+1,),
$DH16="раб.день",
$BP16/30*(IFERROR(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$BP16*BA16,
$DH16="неделя",
$BP16*BA16/7*(ROUNDUP((DAY(EOMONTH(BA$15,0)))/4,0))),
0)</f>
        <v/>
      </c>
      <c r="BS16" s="121">
        <f t="array" ref="BS16">
IFERROR(
_xlfn.IFS(
$DH16="день_1",
$BP16*$BL16/($AX16-$AW16+1)*BB16*(DAY(EOMONTH(BB$15,0))),
$DH16="день_2",
$BP16/30*MAX(MIN($AX16,EOMONTH(BB$15,0))-MAX($AW16,BB$15)+1,),
$DH16="раб.день",
$BP16/30*(IFERROR(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$BP16*BB16,
$DH16="неделя",
$BP16*BB16/7*(ROUNDUP((DAY(EOMONTH(BB$15,0)))/4,0))),
0)</f>
        <v/>
      </c>
      <c r="BT16" s="121">
        <f t="array" ref="BT16">
IFERROR(
_xlfn.IFS(
$DH16="день_1",
$BP16*$BL16/($AX16-$AW16+1)*BC16*(DAY(EOMONTH(BC$15,0))),
$DH16="день_2",
$BP16/30*MAX(MIN($AX16,EOMONTH(BC$15,0))-MAX($AW16,BC$15)+1,),
$DH16="раб.день",
$BP16/30*(IFERROR(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$BP16*BC16,
$DH16="неделя",
$BP16*BC16/7*(ROUNDUP((DAY(EOMONTH(BC$15,0)))/4,0))),
0)</f>
        <v/>
      </c>
      <c r="BU16" s="121">
        <f t="array" ref="BU16">
IFERROR(
_xlfn.IFS(
$DH16="день_1",
$BP16*$BL16/($AX16-$AW16+1)*BD16*(DAY(EOMONTH(BD$15,0))),
$DH16="день_2",
$BP16/30*MAX(MIN($AX16,EOMONTH(BD$15,0))-MAX($AW16,BD$15)+1,),
$DH16="раб.день",
$BP16/30*(IFERROR(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$BP16*BD16,
$DH16="неделя",
$BP16*BD16/7*(ROUNDUP((DAY(EOMONTH(BD$15,0)))/4,0))),
0)</f>
        <v/>
      </c>
      <c r="BV16" s="121">
        <f t="array" ref="BV16">
IFERROR(
_xlfn.IFS(
$DH16="день_1",
$BP16*$BL16/($AX16-$AW16+1)*BE16*(DAY(EOMONTH(BE$15,0))),
$DH16="день_2",
$BP16/30*MAX(MIN($AX16,EOMONTH(BE$15,0))-MAX($AW16,BE$15)+1,),
$DH16="раб.день",
$BP16/30*(IFERROR(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$BP16*BE16,
$DH16="неделя",
$BP16*BE16/7*(ROUNDUP((DAY(EOMONTH(BE$15,0)))/4,0))),
0)</f>
        <v/>
      </c>
      <c r="BW16" s="121">
        <f t="array" ref="BW16">
IFERROR(
_xlfn.IFS(
$DH16="день_1",
$BP16*$BL16/($AX16-$AW16+1)*BF16*(DAY(EOMONTH(BF$15,0))),
$DH16="день_2",
$BP16/30*MAX(MIN($AX16,EOMONTH(BF$15,0))-MAX($AW16,BF$15)+1,),
$DH16="раб.день",
$BP16/30*(IFERROR(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$BP16*BF16,
$DH16="неделя",
$BP16*BF16/7*(ROUNDUP((DAY(EOMONTH(BF$15,0)))/4,0))),
0)</f>
        <v/>
      </c>
      <c r="BX16" s="121">
        <f t="array" ref="BX16">
IFERROR(
_xlfn.IFS(
$DH16="день_1",
$BP16*$BL16/($AX16-$AW16+1)*BG16*(DAY(EOMONTH(BG$15,0))),
$DH16="день_2",
$BP16/30*MAX(MIN($AX16,EOMONTH(BG$15,0))-MAX($AW16,BG$15)+1,),
$DH16="раб.день",
$BP16/30*(IFERROR(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$BP16*BG16,
$DH16="неделя",
$BP16*BG16/7*(ROUNDUP((DAY(EOMONTH(BG$15,0)))/4,0))),
0)</f>
        <v/>
      </c>
      <c r="BY16" s="121">
        <f t="array" ref="BY16">
IFERROR(
_xlfn.IFS(
$DH16="день_1",
$BP16*$BL16/($AX16-$AW16+1)*BH16*(DAY(EOMONTH(BH$15,0))),
$DH16="день_2",
$BP16/30*MAX(MIN($AX16,EOMONTH(BH$15,0))-MAX($AW16,BH$15)+1,),
$DH16="раб.день",
$BP16/30*(IFERROR(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$BP16*BH16,
$DH16="неделя",
$BP16*BH16/7*(ROUNDUP((DAY(EOMONTH(BH$15,0)))/4,0))),
0)</f>
        <v/>
      </c>
      <c r="BZ16" s="121">
        <f t="array" ref="BZ16">
IFERROR(
_xlfn.IFS(
$DH16="день_1",
$BP16*$BL16/($AX16-$AW16+1)*BI16*(DAY(EOMONTH(BI$15,0))),
$DH16="день_2",
$BP16/30*MAX(MIN($AX16,EOMONTH(BI$15,0))-MAX($AW16,BI$15)+1,),
$DH16="раб.день",
$BP16/30*(IFERROR(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$BP16*BI16,
$DH16="неделя",
$BP16*BI16/7*(ROUNDUP((DAY(EOMONTH(BI$15,0)))/4,0))),
0)</f>
        <v/>
      </c>
      <c r="CA16" s="121">
        <f t="array" ref="CA16">
IFERROR(
_xlfn.IFS(
$DH16="день_1",
$BP16*$BL16/($AX16-$AW16+1)*BJ16*(DAY(EOMONTH(BJ$15,0))),
$DH16="день_2",
$BP16/30*MAX(MIN($AX16,EOMONTH(BJ$15,0))-MAX($AW16,BJ$15)+1,),
$DH16="раб.день",
$BP16/30*(IFERROR(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$BP16*BJ16,
$DH16="неделя",
$BP16*BJ16/7*(ROUNDUP((DAY(EOMONTH(BJ$15,0)))/4,0))),
0)</f>
        <v/>
      </c>
      <c r="CB16" s="121">
        <f t="array" ref="CB16">
IFERROR(
_xlfn.IFS(
$DH16="день_1",
$BP16*$BL16/($AX16-$AW16+1)*BK16*(DAY(EOMONTH(BK$15,0))),
$DH16="день_2",
$BP16/30*MAX(MIN($AX16,EOMONTH(BK$15,0))-MAX($AW16,BK$15)+1,),
$DH16="раб.день",
$BP16/30*(IFERROR(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$BP16*BK16,
$DH16="неделя",
$BP16*BK16/7*(ROUNDUP((DAY(EOMONTH(BK$15,0)))/4,0))),
0)</f>
        <v/>
      </c>
      <c r="CC16" s="121">
        <f>SUM($BQ16:$CB16)</f>
        <v/>
      </c>
      <c r="CD16" s="122">
        <f>SUM($EH16:$EH16)</f>
        <v/>
      </c>
      <c r="CE16" s="122">
        <f>$CD16*$AB16</f>
        <v/>
      </c>
      <c r="CF16" s="122">
        <f>SUM($EK16:$EK16)</f>
        <v/>
      </c>
      <c r="CG16" s="122">
        <f>$CF16*$AB16</f>
        <v/>
      </c>
      <c r="CH16" s="122">
        <f>SUM($CC16,$CE16,$CG16)</f>
        <v/>
      </c>
      <c r="CI16" s="122">
        <f>$CH16*(1+$CM16)</f>
        <v/>
      </c>
      <c r="CJ16" s="123" t="n">
        <v>0</v>
      </c>
      <c r="CK16" s="122">
        <f>SUM($CH16:$CH16)*(1+$CJ16)</f>
        <v/>
      </c>
      <c r="CL16" s="122">
        <f>SUM($CH16:$CH16)*(1+$CM16)</f>
        <v/>
      </c>
      <c r="CM16" s="108" t="n"/>
      <c r="CN16" s="59" t="n"/>
      <c r="CO16" s="72" t="n"/>
      <c r="CP16" s="59" t="n"/>
      <c r="CQ16" s="73" t="n"/>
      <c r="CR16" s="73" t="n"/>
      <c r="CS16" s="73" t="n"/>
      <c r="CT16" s="72" t="n"/>
      <c r="CU16" s="79" t="inlineStr">
        <is>
          <t> </t>
        </is>
      </c>
      <c r="CV16" s="60" t="n"/>
      <c r="CW16" s="103" t="n"/>
      <c r="CX16" s="60" t="n"/>
      <c r="CY16" s="123">
        <f>IFERROR(($CC16-$EE16)/($EE16/(1-$DQ16)),0)</f>
        <v/>
      </c>
      <c r="CZ16" s="123">
        <f>IFERROR(1-$EI16/($CE16),0)</f>
        <v/>
      </c>
      <c r="DA16" s="123">
        <f>IFERROR(1-$EL16/($CG16),0)</f>
        <v/>
      </c>
      <c r="DB16" s="122">
        <f>ROUND(IFERROR(($CI16/(1+$CM16)-$EN16),0),2)</f>
        <v/>
      </c>
      <c r="DC16" s="124" t="n"/>
      <c r="DD16" s="121" t="n"/>
      <c r="DE16" s="75" t="n">
        <v>0</v>
      </c>
      <c r="DF16" s="124" t="n"/>
      <c r="DG16" s="121">
        <f>IF($DC16=0,0,$DD16*($DC16*100%-$DE16*$DF16))*SUM($AB16:$AB16)</f>
        <v/>
      </c>
      <c r="DH16" s="125" t="inlineStr">
        <is>
          <t>месяц</t>
        </is>
      </c>
      <c r="DI16" s="126">
        <f t="array" ref="DI16">IFERROR(
IF($ES16="LisChannel",
(ROUND(((INDEX({174.625;153.888888888889;130.972222222222},MATCH($AI16,{2;3;4}),0))*$AG16*$AI16),2)),0),0)</f>
        <v/>
      </c>
      <c r="DJ16" s="126">
        <f>
_xlfn.LET(_xlpm.X,
IFERROR(
IF($ES16="НовиковТВ",
(_xlfn.LET(_xlpm.NTV,
_xlfn.LET(_xlpm.MIN,350000,
IF(SUMIFS($DI:$DI,$ES:$ES,"НовиковТВ")&lt;=_xlpm.MIN,
(SUMIFS($DI:$DI,$ES:$ES,"НовиковТВ")/(COUNTIFS($ES:$ES,"НовиковТВ")))*_xlpm.MIN/SUMIFS($DI:$DI,$ES:$ES,"НовиковТВ"),
DI16)),
_xlpm.NTV+$DG16/(1-(1-(_xlpm.NTV)*(1-$DL16)*(1-$DM16)*(1-$DN16)*(1-$DO16)*(1-$DP16)/_xlpm.NTV))))/(1+$EP16),
$DI16+$DG16/(1-(1-($DI16)*(1-$DL16)*(1-$DM16)*(1-$DN16)*(1-$DO16)*(1-$DP16)/$DI16))),
0),
_xlpm.X*(1+$CM16)*(1+$CW16)-_xlpm.X*(1+$CM16)+_xlpm.X)</f>
        <v/>
      </c>
      <c r="DK16" s="121" t="inlineStr">
        <is>
          <t>послед.</t>
        </is>
      </c>
      <c r="DL16" s="63" t="n">
        <v>0</v>
      </c>
      <c r="DM16" s="63" t="n">
        <v>0</v>
      </c>
      <c r="DN16" s="63" t="n">
        <v>0</v>
      </c>
      <c r="DO16" s="63" t="n">
        <v>0</v>
      </c>
      <c r="DP16" s="63" t="n">
        <v>0</v>
      </c>
      <c r="DQ16" s="63">
        <f t="array" ref="DQ16">IFERROR(_xlfn.IFS(
$DK16="послед.",1-(1-$DL16)*(1-$DM16)*(1-$DN16)*(1-$DO16)*(1-$DP16),
$DK16="сумм.",$DL16+$DM16+$DN16+$DO16+$DP16),
0)</f>
        <v/>
      </c>
      <c r="DR16" s="121">
        <f t="array" ref="DR16">
IFERROR(
_xlfn.IFS(
$BL16=0,
0,
$BL16&gt;0,
_xlfn.IFS($DK16="послед.",
$DJ16*(1-$DL16)*(1-$DM16)*(1-$DN16)*(1-$DO16)*(1-$DP16),
$DK16="сумм.",
$DJ16*(1-($DL16+$DM16+$DN16+$DO16+$DP16)))),0)</f>
        <v/>
      </c>
      <c r="DS16" s="121">
        <f t="array" ref="DS16">
IFERROR(_xlfn.IFS(
$DH16="день_1",
$DR16*$BL16/($AX16-$AW16+1)*AZ16*(DAY(EOMONTH(AZ$15,0))),
$DH16="день_2",
$DR16/30*MAX(MIN($AX16,EOMONTH(AZ$15,0))-MAX($AW16,AZ$15)+1,),
$DH16="раб.день",
$DR16/30*(IFERROR(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$DR16*AZ16,
$DH16="неделя",
$DR16*AZ16/7*(ROUNDUP((DAY(EOMONTH(AZ$15,0)))/4,0))),
0)</f>
        <v/>
      </c>
      <c r="DT16" s="121">
        <f t="array" ref="DT16">
IFERROR(_xlfn.IFS(
$DH16="день_1",
$DR16*$BL16/($AX16-$AW16+1)*BA16*(DAY(EOMONTH(BA$15,0))),
$DH16="день_2",
$DR16/30*MAX(MIN($AX16,EOMONTH(BA$15,0))-MAX($AW16,BA$15)+1,),
$DH16="раб.день",
$DR16/30*(IFERROR(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$DR16*BA16,
$DH16="неделя",
$DR16*BA16/7*(ROUNDUP((DAY(EOMONTH(BA$15,0)))/4,0))),
0)</f>
        <v/>
      </c>
      <c r="DU16" s="121">
        <f t="array" ref="DU16">
IFERROR(_xlfn.IFS(
$DH16="день_1",
$DR16*$BL16/($AX16-$AW16+1)*BB16*(DAY(EOMONTH(BB$15,0))),
$DH16="день_2",
$DR16/30*MAX(MIN($AX16,EOMONTH(BB$15,0))-MAX($AW16,BB$15)+1,),
$DH16="раб.день",
$DR16/30*(IFERROR(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$DR16*BB16,
$DH16="неделя",
$DR16*BB16/7*(ROUNDUP((DAY(EOMONTH(BB$15,0)))/4,0))),
0)</f>
        <v/>
      </c>
      <c r="DV16" s="121">
        <f t="array" ref="DV16">
IFERROR(_xlfn.IFS(
$DH16="день_1",
$DR16*$BL16/($AX16-$AW16+1)*BC16*(DAY(EOMONTH(BC$15,0))),
$DH16="день_2",
$DR16/30*MAX(MIN($AX16,EOMONTH(BC$15,0))-MAX($AW16,BC$15)+1,),
$DH16="раб.день",
$DR16/30*(IFERROR(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$DR16*BC16,
$DH16="неделя",
$DR16*BC16/7*(ROUNDUP((DAY(EOMONTH(BC$15,0)))/4,0))),
0)</f>
        <v/>
      </c>
      <c r="DW16" s="121">
        <f t="array" ref="DW16">
IFERROR(_xlfn.IFS(
$DH16="день_1",
$DR16*$BL16/($AX16-$AW16+1)*BD16*(DAY(EOMONTH(BD$15,0))),
$DH16="день_2",
$DR16/30*MAX(MIN($AX16,EOMONTH(BD$15,0))-MAX($AW16,BD$15)+1,),
$DH16="раб.день",
$DR16/30*(IFERROR(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$DR16*BD16,
$DH16="неделя",
$DR16*BD16/7*(ROUNDUP((DAY(EOMONTH(BD$15,0)))/4,0))),
0)</f>
        <v/>
      </c>
      <c r="DX16" s="121">
        <f t="array" ref="DX16">
IFERROR(_xlfn.IFS(
$DH16="день_1",
$DR16*$BL16/($AX16-$AW16+1)*BE16*(DAY(EOMONTH(BE$15,0))),
$DH16="день_2",
$DR16/30*MAX(MIN($AX16,EOMONTH(BE$15,0))-MAX($AW16,BE$15)+1,),
$DH16="раб.день",
$DR16/30*(IFERROR(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$DR16*BE16,
$DH16="неделя",
$DR16*BE16/7*(ROUNDUP((DAY(EOMONTH(BE$15,0)))/4,0))),
0)</f>
        <v/>
      </c>
      <c r="DY16" s="121">
        <f t="array" ref="DY16">
IFERROR(_xlfn.IFS(
$DH16="день_1",
$DR16*$BL16/($AX16-$AW16+1)*BF16*(DAY(EOMONTH(BF$15,0))),
$DH16="день_2",
$DR16/30*MAX(MIN($AX16,EOMONTH(BF$15,0))-MAX($AW16,BF$15)+1,),
$DH16="раб.день",
$DR16/30*(IFERROR(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$DR16*BF16,
$DH16="неделя",
$DR16*BF16/7*(ROUNDUP((DAY(EOMONTH(BF$15,0)))/4,0))),
0)</f>
        <v/>
      </c>
      <c r="DZ16" s="121">
        <f t="array" ref="DZ16">
IFERROR(_xlfn.IFS(
$DH16="день_1",
$DR16*$BL16/($AX16-$AW16+1)*BG16*(DAY(EOMONTH(BG$15,0))),
$DH16="день_2",
$DR16/30*MAX(MIN($AX16,EOMONTH(BG$15,0))-MAX($AW16,BG$15)+1,),
$DH16="раб.день",
$DR16/30*(IFERROR(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$DR16*BG16,
$DH16="неделя",
$DR16*BG16/7*(ROUNDUP((DAY(EOMONTH(BG$15,0)))/4,0))),
0)</f>
        <v/>
      </c>
      <c r="EA16" s="121">
        <f t="array" ref="EA16">
IFERROR(_xlfn.IFS(
$DH16="день_1",
$DR16*$BL16/($AX16-$AW16+1)*BH16*(DAY(EOMONTH(BH$15,0))),
$DH16="день_2",
$DR16/30*MAX(MIN($AX16,EOMONTH(BH$15,0))-MAX($AW16,BH$15)+1,),
$DH16="раб.день",
$DR16/30*(IFERROR(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$DR16*BH16,
$DH16="неделя",
$DR16*BH16/7*(ROUNDUP((DAY(EOMONTH(BH$15,0)))/4,0))),
0)</f>
        <v/>
      </c>
      <c r="EB16" s="121">
        <f t="array" ref="EB16">
IFERROR(_xlfn.IFS(
$DH16="день_1",
$DR16*$BL16/($AX16-$AW16+1)*BI16*(DAY(EOMONTH(BI$15,0))),
$DH16="день_2",
$DR16/30*MAX(MIN($AX16,EOMONTH(BI$15,0))-MAX($AW16,BI$15)+1,),
$DH16="раб.день",
$DR16/30*(IFERROR(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$DR16*BI16,
$DH16="неделя",
$DR16*BI16/7*(ROUNDUP((DAY(EOMONTH(BI$15,0)))/4,0))),
0)</f>
        <v/>
      </c>
      <c r="EC16" s="121">
        <f t="array" ref="EC16">
IFERROR(_xlfn.IFS(
$DH16="день_1",
$DR16*$BL16/($AX16-$AW16+1)*BJ16*(DAY(EOMONTH(BJ$15,0))),
$DH16="день_2",
$DR16/30*MAX(MIN($AX16,EOMONTH(BJ$15,0))-MAX($AW16,BJ$15)+1,),
$DH16="раб.день",
$DR16/30*(IFERROR(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$DR16*BJ16,
$DH16="неделя",
$DR16*BJ16/7*(ROUNDUP((DAY(EOMONTH(BJ$15,0)))/4,0))),
0)</f>
        <v/>
      </c>
      <c r="ED16" s="121">
        <f t="array" ref="ED16">
IFERROR(_xlfn.IFS(
$DH16="день_1",
$DR16*$BL16/($AX16-$AW16+1)*BK16*(DAY(EOMONTH(BK$15,0))),
$DH16="день_2",
$DR16/30*MAX(MIN($AX16,EOMONTH(BK$15,0))-MAX($AW16,BK$15)+1,),
$DH16="раб.день",
$DR16/30*(IFERROR(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$DR16*BK16,
$DH16="неделя",
$DR16*BK16/7*(ROUNDUP((DAY(EOMONTH(BK$15,0)))/4,0))),
0)</f>
        <v/>
      </c>
      <c r="EE16" s="121">
        <f>SUM($DS16,$DT16,$DU16,$DV16,$DW16,$DX16,$DY16,$DZ16,$EA16,$EB16,$EC16,$ED16)</f>
        <v/>
      </c>
      <c r="EF16" s="121">
        <f>IFERROR(ROUND($EE16*(1+$EP16),2),0)</f>
        <v/>
      </c>
      <c r="EG16" s="124" t="n">
        <v>1</v>
      </c>
      <c r="EH16" s="122" t="n">
        <v>0</v>
      </c>
      <c r="EI16" s="122">
        <f>IFERROR(ROUND(SUM($EH16:$EH16)*SUM($AB16:$AB16)*$EG16,2),0)</f>
        <v/>
      </c>
      <c r="EJ16" s="122">
        <f>ROUND($EI16*(1+$EP16),2)</f>
        <v/>
      </c>
      <c r="EK16" s="122" t="n">
        <v>0</v>
      </c>
      <c r="EL16" s="122">
        <f>IFERROR(ROUND(SUM($EK16:$EK16)*SUM($AB16:$AB16)*$EG16,2),0)</f>
        <v/>
      </c>
      <c r="EM16" s="122">
        <f>ROUND($EL16*(1+$EP16),2)</f>
        <v/>
      </c>
      <c r="EN16" s="122">
        <f>SUM($EE16,$EI16,$EL16)</f>
        <v/>
      </c>
      <c r="EO16" s="122">
        <f>SUM($EF16,$EJ16,$EM16)</f>
        <v/>
      </c>
      <c r="EP16" s="108" t="n"/>
      <c r="EQ16" s="59" t="n"/>
      <c r="ER16" s="60">
        <f t="array" ref="ER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
{"AMS";"RussOutdoor";"HD Outdoor";"Ingroup";"IQ";"Ledproduction";"LisChannel";"Logic";"Media-PPL";"NovikovTV | НовиковТВ";"SMA";"SOK";"КрокусТВ | CrocusTV | IndoorTV";"Сити";"ТЯК Москва"},
0)),"")</f>
        <v/>
      </c>
      <c r="ES16" s="60" t="n"/>
      <c r="ET16" s="60">
        <f t="array" ref="ET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
{"AMS";"RussOutdoor";"HD Outdoor";"Ingroup";"IQ";"Ledproduction";"LisChannel";"Logic";"Media-PPL";"NovikovTV | НовиковТВ";"SMA";"SOK";"КрокусТВ | CrocusTV | IndoorTV";"Сити";"ТЯК Москва"},
0)),"")</f>
        <v/>
      </c>
      <c r="EU16" s="60" t="n"/>
      <c r="EV16" s="60" t="n"/>
      <c r="EW16" t="inlineStr">
        <is>
          <t> </t>
        </is>
      </c>
    </row>
    <row r="17">
      <c r="A17" s="59" t="n"/>
      <c r="B17" s="60" t="n"/>
      <c r="C17" s="60" t="n"/>
      <c r="D17" s="60">
        <f t="array" ref="D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 s="60">
        <f t="array" ref="E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 s="60" t="inlineStr"/>
      <c r="G17" s="60" t="n"/>
      <c r="H17" s="60">
        <f t="array" ref="H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 s="60" t="n"/>
      <c r="J17" s="60" t="n"/>
      <c r="K17" s="60" t="n"/>
      <c r="L17" s="60" t="n"/>
      <c r="M17" s="60" t="n"/>
      <c r="N17" s="60" t="n"/>
      <c r="O17" s="60" t="n"/>
      <c r="P17" s="60">
        <f t="array" ref="P17">
_xlfn.IFS(
ISNUMBER(MATCH($Q17,{"шелфбаннер","разделитель","монетница","чековая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ISNUMBER(MATCH($Q17,{"каталог","журнал"},)),
"Пресса",
$Q17="","")</f>
        <v/>
      </c>
      <c r="Q17" s="60" t="n"/>
      <c r="R17" s="60">
        <f t="array" ref="R17">
IFERROR(
_xlfn.IFS(
OR(ISNUMBER(MATCH($Q17,{"экспозиция","макет","стенд","автостенд","авто стенд","выставочное пространство","выставочные стенды","модульные выставочные стенды","3Д конструкция","3D конструкция"},)),P17="Экспонирование"),
"нестандартный",
ISNUMBER(MATCH($Q17,{"скроллер","призматрон"},)),
"динамический",
$P17="Видео",
"цифровой",
OR($P17="Пресса",$P17="Щит",$P17="POSm",$P17="Подвес",$P17="Брендирование/оклейка"),
"статический"),"")</f>
        <v/>
      </c>
      <c r="S17" s="59" t="n"/>
      <c r="T17" s="60" t="n"/>
      <c r="U17" s="60" t="n"/>
      <c r="V17" s="60">
        <f>
IF(P17="Видео",
"цифровой постер/ролик",
IF(ISNUMBER(MATCH(Q17,{"короб световой","короб световой | лайтбокс","короб световой | кристалайт","лайтбокс","лайт бокс","кристалайт","LB","lightbox"},)),
"бэклит",
IF(P17="Брендирование/оклейка",
"перфарированная пленка/самоклейка",
IF(P17="Экспонирование",
"под запрос",
IF(P17="Подвес",
"баннер/ткань",
"")))))</f>
        <v/>
      </c>
      <c r="W17" s="59" t="n"/>
      <c r="X17" s="59" t="n"/>
      <c r="Y17" s="59" t="n"/>
      <c r="Z17" s="61" t="n"/>
      <c r="AA17" s="61" t="n"/>
      <c r="AB17" s="61">
        <f>IF(BL17&gt;0,Z17,0)</f>
        <v/>
      </c>
      <c r="AC17" s="59" t="n"/>
      <c r="AD17" s="59" t="n"/>
      <c r="AE17" s="59" t="n"/>
      <c r="AF17" s="59" t="n"/>
      <c r="AG17" s="59" t="n">
        <v>1</v>
      </c>
      <c r="AH17" s="59" t="e">
        <v>#VALUE!</v>
      </c>
      <c r="AI17" s="59" t="n"/>
      <c r="AJ17" s="59" t="n"/>
      <c r="AK17" s="59" t="n"/>
      <c r="AL17" s="62">
        <f>IFERROR(IF(OR(R17="статический",R17="динамический",R17="нестандартный",R17="",R17=""),"-",IF(AND(AH17="-",AI17="-"),"-",AK17*3600/AH17*AI17)),"-")</f>
        <v/>
      </c>
      <c r="AM17" s="62">
        <f>IFERROR(IF(OR(R17="статический",R17="динамический",R17="",R17="", R17="BTL",R17="нестандартный"),"-",AG17*AI17*AL17/60),"-")</f>
        <v/>
      </c>
      <c r="AN17" s="63">
        <f>IFERROR(IF(AH17="","-",AG17*AI17/AH17),"-")</f>
        <v/>
      </c>
      <c r="AO17" s="59">
        <f>IFERROR(IF(OR($R17="статический",$R17="динамический",$R17="",$R17="",$R17="BTL",$R17="нестандартный"),"-",$AL17*$AY17),"-")</f>
        <v/>
      </c>
      <c r="AP17" s="62">
        <f>IFERROR(IF(OR($R17="статический",$R17="динамический",$R17="",$R17="",$R17="BTL",$R17="нестандартный"),"-",$AM17*AY17),"-")</f>
        <v/>
      </c>
      <c r="AQ17" s="64" t="n"/>
      <c r="AR17" s="61" t="n"/>
      <c r="AS17" s="61" t="n"/>
      <c r="AT17" s="61" t="n"/>
      <c r="AU17" s="65" t="n"/>
      <c r="AV17" s="120">
        <f>IFERROR(DR17/AT17*1000,"n/a")</f>
        <v/>
      </c>
      <c r="AW17" s="67" t="n"/>
      <c r="AX17" s="67" t="n"/>
      <c r="AY17" s="43">
        <f>IFERROR(IF(OR($AW17="",$AX17=""),"",_xlfn.DAYS($AX17+1,$AW17)),"")</f>
        <v/>
      </c>
      <c r="AZ17" s="68">
        <f t="array" ref="AZ17">
_xlfn.LET(_xlpm.COEFF,
IF($AW17+$AX17=0,0,IF(MAX(MIN($AX17,EOMONTH(AZ$15,0))-MAX($AW17,AZ$15)+1,)&gt;0,1,0)),
_xlfn.IFS(
$ES17="LisChannel",
_xlpm.COEFF*
INDEX({1;1;1.2;1.2;1;1;1;1;1.2;1.2;1.2;1.2},
MATCH(MONTH(AZ$15),
{1,2,3,4,5,6,7,8,9,10,11,12})),
CONCATENATE($ES17," ",$L17)="RussOutdoor метро",
_xlpm.COEFF*
INDEX({0.8;0.9;1.1;1.1;1;1;1;1;1.1;1.1;1.1;1.1},
MATCH(MONTH(AZ$15),
{1,2,3,4,5,6,7,8,9,10,11,12})),
$ES17&lt;&gt;"LisChannel",
_xlpm.COEFF,
$ES17&lt;&gt;"RussOutdoor",
_xlpm.COEFF))</f>
        <v/>
      </c>
      <c r="BA17" s="68">
        <f t="array" ref="BA17">
_xlfn.LET(_xlpm.COEFF,
IF($AW17+$AX17=0,0,IF(MAX(MIN($AX17,EOMONTH(BA$15,0))-MAX($AW17,BA$15)+1,)&gt;0,1,0)),
_xlfn.IFS(
$ES17="LisChannel",
_xlpm.COEFF*
INDEX({1;1;1.2;1.2;1;1;1;1;1.2;1.2;1.2;1.2},
MATCH(MONTH(BA$15),
{1,2,3,4,5,6,7,8,9,10,11,12})),
CONCATENATE($ES17," ",$L17)="RussOutdoor метро",
_xlpm.COEFF*
INDEX({0.8;0.9;1.1;1.1;1;1;1;1;1.1;1.1;1.1;1.1},
MATCH(MONTH(BA$15),
{1,2,3,4,5,6,7,8,9,10,11,12})),
$ES17&lt;&gt;"LisChannel",
_xlpm.COEFF,
$ES17&lt;&gt;"RussOutdoor",
_xlpm.COEFF))</f>
        <v/>
      </c>
      <c r="BB17" s="68">
        <f t="array" ref="BB17">
_xlfn.LET(_xlpm.COEFF,
IF($AW17+$AX17=0,0,IF(MAX(MIN($AX17,EOMONTH(BB$15,0))-MAX($AW17,BB$15)+1,)&gt;0,1,0)),
_xlfn.IFS(
$ES17="LisChannel",
_xlpm.COEFF*
INDEX({1;1;1.2;1.2;1;1;1;1;1.2;1.2;1.2;1.2},
MATCH(MONTH(BB$15),
{1,2,3,4,5,6,7,8,9,10,11,12})),
CONCATENATE($ES17," ",$L17)="RussOutdoor метро",
_xlpm.COEFF*
INDEX({0.8;0.9;1.1;1.1;1;1;1;1;1.1;1.1;1.1;1.1},
MATCH(MONTH(BB$15),
{1,2,3,4,5,6,7,8,9,10,11,12})),
$ES17&lt;&gt;"LisChannel",
_xlpm.COEFF,
$ES17&lt;&gt;"RussOutdoor",
_xlpm.COEFF))</f>
        <v/>
      </c>
      <c r="BC17" s="68">
        <f t="array" ref="BC17">
_xlfn.LET(_xlpm.COEFF,
IF($AW17+$AX17=0,0,IF(MAX(MIN($AX17,EOMONTH(BC$15,0))-MAX($AW17,BC$15)+1,)&gt;0,1,0)),
_xlfn.IFS(
$ES17="LisChannel",
_xlpm.COEFF*
INDEX({1;1;1.2;1.2;1;1;1;1;1.2;1.2;1.2;1.2},
MATCH(MONTH(BC$15),
{1,2,3,4,5,6,7,8,9,10,11,12})),
CONCATENATE($ES17," ",$L17)="RussOutdoor метро",
_xlpm.COEFF*
INDEX({0.8;0.9;1.1;1.1;1;1;1;1;1.1;1.1;1.1;1.1},
MATCH(MONTH(BC$15),
{1,2,3,4,5,6,7,8,9,10,11,12})),
$ES17&lt;&gt;"LisChannel",
_xlpm.COEFF,
$ES17&lt;&gt;"RussOutdoor",
_xlpm.COEFF))</f>
        <v/>
      </c>
      <c r="BD17" s="68">
        <f t="array" ref="BD17">
_xlfn.LET(_xlpm.COEFF,
IF($AW17+$AX17=0,0,IF(MAX(MIN($AX17,EOMONTH(BD$15,0))-MAX($AW17,BD$15)+1,)&gt;0,1,0)),
_xlfn.IFS(
$ES17="LisChannel",
_xlpm.COEFF*
INDEX({1;1;1.2;1.2;1;1;1;1;1.2;1.2;1.2;1.2},
MATCH(MONTH(BD$15),
{1,2,3,4,5,6,7,8,9,10,11,12})),
CONCATENATE($ES17," ",$L17)="RussOutdoor метро",
_xlpm.COEFF*
INDEX({0.8;0.9;1.1;1.1;1;1;1;1;1.1;1.1;1.1;1.1},
MATCH(MONTH(BD$15),
{1,2,3,4,5,6,7,8,9,10,11,12})),
$ES17&lt;&gt;"LisChannel",
_xlpm.COEFF,
$ES17&lt;&gt;"RussOutdoor",
_xlpm.COEFF))</f>
        <v/>
      </c>
      <c r="BE17" s="68">
        <f t="array" ref="BE17">
_xlfn.LET(_xlpm.COEFF,
IF($AW17+$AX17=0,0,IF(MAX(MIN($AX17,EOMONTH(BE$15,0))-MAX($AW17,BE$15)+1,)&gt;0,1,0)),
_xlfn.IFS(
$ES17="LisChannel",
_xlpm.COEFF*
INDEX({1;1;1.2;1.2;1;1;1;1;1.2;1.2;1.2;1.2},
MATCH(MONTH(BE$15),
{1,2,3,4,5,6,7,8,9,10,11,12})),
CONCATENATE($ES17," ",$L17)="RussOutdoor метро",
_xlpm.COEFF*
INDEX({0.8;0.9;1.1;1.1;1;1;1;1;1.1;1.1;1.1;1.1},
MATCH(MONTH(BE$15),
{1,2,3,4,5,6,7,8,9,10,11,12})),
$ES17&lt;&gt;"LisChannel",
_xlpm.COEFF,
$ES17&lt;&gt;"RussOutdoor",
_xlpm.COEFF))</f>
        <v/>
      </c>
      <c r="BF17" s="68">
        <f t="array" ref="BF17">
_xlfn.LET(_xlpm.COEFF,
IF($AW17+$AX17=0,0,IF(MAX(MIN($AX17,EOMONTH(BF$15,0))-MAX($AW17,BF$15)+1,)&gt;0,1,0)),
_xlfn.IFS(
$ES17="LisChannel",
_xlpm.COEFF*
INDEX({1;1;1.2;1.2;1;1;1;1;1.2;1.2;1.2;1.2},
MATCH(MONTH(BF$15),
{1,2,3,4,5,6,7,8,9,10,11,12})),
CONCATENATE($ES17," ",$L17)="RussOutdoor метро",
_xlpm.COEFF*
INDEX({0.8;0.9;1.1;1.1;1;1;1;1;1.1;1.1;1.1;1.1},
MATCH(MONTH(BF$15),
{1,2,3,4,5,6,7,8,9,10,11,12})),
$ES17&lt;&gt;"LisChannel",
_xlpm.COEFF,
$ES17&lt;&gt;"RussOutdoor",
_xlpm.COEFF))</f>
        <v/>
      </c>
      <c r="BG17" s="68">
        <f t="array" ref="BG17">
_xlfn.LET(_xlpm.COEFF,
IF($AW17+$AX17=0,0,IF(MAX(MIN($AX17,EOMONTH(BG$15,0))-MAX($AW17,BG$15)+1,)&gt;0,1,0)),
_xlfn.IFS(
$ES17="LisChannel",
_xlpm.COEFF*
INDEX({1;1;1.2;1.2;1;1;1;1;1.2;1.2;1.2;1.2},
MATCH(MONTH(BG$15),
{1,2,3,4,5,6,7,8,9,10,11,12})),
CONCATENATE($ES17," ",$L17)="RussOutdoor метро",
_xlpm.COEFF*
INDEX({0.8;0.9;1.1;1.1;1;1;1;1;1.1;1.1;1.1;1.1},
MATCH(MONTH(BG$15),
{1,2,3,4,5,6,7,8,9,10,11,12})),
$ES17&lt;&gt;"LisChannel",
_xlpm.COEFF,
$ES17&lt;&gt;"RussOutdoor",
_xlpm.COEFF))</f>
        <v/>
      </c>
      <c r="BH17" s="68">
        <f t="array" ref="BH17">
_xlfn.LET(_xlpm.COEFF,
IF($AW17+$AX17=0,0,IF(MAX(MIN($AX17,EOMONTH(BH$15,0))-MAX($AW17,BH$15)+1,)&gt;0,1,0)),
_xlfn.IFS(
$ES17="LisChannel",
_xlpm.COEFF*
INDEX({1;1;1.2;1.2;1;1;1;1;1.2;1.2;1.2;1.2},
MATCH(MONTH(BH$15),
{1,2,3,4,5,6,7,8,9,10,11,12})),
CONCATENATE($ES17," ",$L17)="RussOutdoor метро",
_xlpm.COEFF*
INDEX({0.8;0.9;1.1;1.1;1;1;1;1;1.1;1.1;1.1;1.1},
MATCH(MONTH(BH$15),
{1,2,3,4,5,6,7,8,9,10,11,12})),
$ES17&lt;&gt;"LisChannel",
_xlpm.COEFF,
$ES17&lt;&gt;"RussOutdoor",
_xlpm.COEFF))</f>
        <v/>
      </c>
      <c r="BI17" s="68">
        <f t="array" ref="BI17">
_xlfn.LET(_xlpm.COEFF,
IF($AW17+$AX17=0,0,IF(MAX(MIN($AX17,EOMONTH(BI$15,0))-MAX($AW17,BI$15)+1,)&gt;0,1,0)),
_xlfn.IFS(
$ES17="LisChannel",
_xlpm.COEFF*
INDEX({1;1;1.2;1.2;1;1;1;1;1.2;1.2;1.2;1.2},
MATCH(MONTH(BI$15),
{1,2,3,4,5,6,7,8,9,10,11,12})),
CONCATENATE($ES17," ",$L17)="RussOutdoor метро",
_xlpm.COEFF*
INDEX({0.8;0.9;1.1;1.1;1;1;1;1;1.1;1.1;1.1;1.1},
MATCH(MONTH(BI$15),
{1,2,3,4,5,6,7,8,9,10,11,12})),
$ES17&lt;&gt;"LisChannel",
_xlpm.COEFF,
$ES17&lt;&gt;"RussOutdoor",
_xlpm.COEFF))</f>
        <v/>
      </c>
      <c r="BJ17" s="68">
        <f t="array" ref="BJ17">
_xlfn.LET(_xlpm.COEFF,
IF($AW17+$AX17=0,0,IF(MAX(MIN($AX17,EOMONTH(BJ$15,0))-MAX($AW17,BJ$15)+1,)&gt;0,1,0)),
_xlfn.IFS(
$ES17="LisChannel",
_xlpm.COEFF*
INDEX({1;1;1.2;1.2;1;1;1;1;1.2;1.2;1.2;1.2},
MATCH(MONTH(BJ$15),
{1,2,3,4,5,6,7,8,9,10,11,12})),
CONCATENATE($ES17," ",$L17)="RussOutdoor метро",
_xlpm.COEFF*
INDEX({0.8;0.9;1.1;1.1;1;1;1;1;1.1;1.1;1.1;1.1},
MATCH(MONTH(BJ$15),
{1,2,3,4,5,6,7,8,9,10,11,12})),
$ES17&lt;&gt;"LisChannel",
_xlpm.COEFF,
$ES17&lt;&gt;"RussOutdoor",
_xlpm.COEFF))</f>
        <v/>
      </c>
      <c r="BK17" s="68">
        <f t="array" ref="BK17">
_xlfn.LET(_xlpm.COEFF,
IF($AW17+$AX17=0,0,IF(MAX(MIN($AX17,EOMONTH(BK$15,0))-MAX($AW17,BK$15)+1,)&gt;0,1,0)),
_xlfn.IFS(
$ES17="LisChannel",
_xlpm.COEFF*
INDEX({1;1;1.2;1.2;1;1;1;1;1.2;1.2;1.2;1.2},
MATCH(MONTH(BK$15),
{1,2,3,4,5,6,7,8,9,10,11,12})),
CONCATENATE($ES17," ",$L17)="RussOutdoor метро",
_xlpm.COEFF*
INDEX({0.8;0.9;1.1;1.1;1;1;1;1;1.1;1.1;1.1;1.1},
MATCH(MONTH(BK$15),
{1,2,3,4,5,6,7,8,9,10,11,12})),
$ES17&lt;&gt;"LisChannel",
_xlpm.COEFF,
$ES17&lt;&gt;"RussOutdoor",
_xlpm.COEFF))</f>
        <v/>
      </c>
      <c r="BL17" s="62">
        <f>COUNTIFS($AZ17:$BK17,"&gt;0")</f>
        <v/>
      </c>
      <c r="BM17" s="65" t="n"/>
      <c r="BN17" s="121">
        <f>$DJ17</f>
        <v/>
      </c>
      <c r="BO17" s="63">
        <f>$DQ17</f>
        <v/>
      </c>
      <c r="BP17" s="121">
        <f>
IFERROR(
IF($BL17=0,0,
$BN17*(1-$BO17)),
0)</f>
        <v/>
      </c>
      <c r="BQ17" s="121">
        <f t="array" ref="BQ17">
IFERROR(
_xlfn.IFS(
$DH17="день_1",
$BP17*$BL17/($AX17-$AW17+1)*AZ17*(DAY(EOMONTH(AZ$15,0))),
$DH17="день_2",
$BP17/30*MAX(MIN($AX17,EOMONTH(AZ$15,0))-MAX($AW17,AZ$15)+1,),
$DH17="раб.день",
$BP17/30*(IFERROR(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$BP17*AZ17,
$DH17="неделя",
$BP17*AZ17/7*(ROUNDUP((DAY(EOMONTH(AZ$15,0)))/4,0))),
0)</f>
        <v/>
      </c>
      <c r="BR17" s="121">
        <f t="array" ref="BR17">
IFERROR(
_xlfn.IFS(
$DH17="день_1",
$BP17*$BL17/($AX17-$AW17+1)*BA17*(DAY(EOMONTH(BA$15,0))),
$DH17="день_2",
$BP17/30*MAX(MIN($AX17,EOMONTH(BA$15,0))-MAX($AW17,BA$15)+1,),
$DH17="раб.день",
$BP17/30*(IFERROR(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$BP17*BA17,
$DH17="неделя",
$BP17*BA17/7*(ROUNDUP((DAY(EOMONTH(BA$15,0)))/4,0))),
0)</f>
        <v/>
      </c>
      <c r="BS17" s="121">
        <f t="array" ref="BS17">
IFERROR(
_xlfn.IFS(
$DH17="день_1",
$BP17*$BL17/($AX17-$AW17+1)*BB17*(DAY(EOMONTH(BB$15,0))),
$DH17="день_2",
$BP17/30*MAX(MIN($AX17,EOMONTH(BB$15,0))-MAX($AW17,BB$15)+1,),
$DH17="раб.день",
$BP17/30*(IFERROR(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$BP17*BB17,
$DH17="неделя",
$BP17*BB17/7*(ROUNDUP((DAY(EOMONTH(BB$15,0)))/4,0))),
0)</f>
        <v/>
      </c>
      <c r="BT17" s="121">
        <f t="array" ref="BT17">
IFERROR(
_xlfn.IFS(
$DH17="день_1",
$BP17*$BL17/($AX17-$AW17+1)*BC17*(DAY(EOMONTH(BC$15,0))),
$DH17="день_2",
$BP17/30*MAX(MIN($AX17,EOMONTH(BC$15,0))-MAX($AW17,BC$15)+1,),
$DH17="раб.день",
$BP17/30*(IFERROR(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$BP17*BC17,
$DH17="неделя",
$BP17*BC17/7*(ROUNDUP((DAY(EOMONTH(BC$15,0)))/4,0))),
0)</f>
        <v/>
      </c>
      <c r="BU17" s="121">
        <f t="array" ref="BU17">
IFERROR(
_xlfn.IFS(
$DH17="день_1",
$BP17*$BL17/($AX17-$AW17+1)*BD17*(DAY(EOMONTH(BD$15,0))),
$DH17="день_2",
$BP17/30*MAX(MIN($AX17,EOMONTH(BD$15,0))-MAX($AW17,BD$15)+1,),
$DH17="раб.день",
$BP17/30*(IFERROR(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$BP17*BD17,
$DH17="неделя",
$BP17*BD17/7*(ROUNDUP((DAY(EOMONTH(BD$15,0)))/4,0))),
0)</f>
        <v/>
      </c>
      <c r="BV17" s="121">
        <f t="array" ref="BV17">
IFERROR(
_xlfn.IFS(
$DH17="день_1",
$BP17*$BL17/($AX17-$AW17+1)*BE17*(DAY(EOMONTH(BE$15,0))),
$DH17="день_2",
$BP17/30*MAX(MIN($AX17,EOMONTH(BE$15,0))-MAX($AW17,BE$15)+1,),
$DH17="раб.день",
$BP17/30*(IFERROR(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$BP17*BE17,
$DH17="неделя",
$BP17*BE17/7*(ROUNDUP((DAY(EOMONTH(BE$15,0)))/4,0))),
0)</f>
        <v/>
      </c>
      <c r="BW17" s="121">
        <f t="array" ref="BW17">
IFERROR(
_xlfn.IFS(
$DH17="день_1",
$BP17*$BL17/($AX17-$AW17+1)*BF17*(DAY(EOMONTH(BF$15,0))),
$DH17="день_2",
$BP17/30*MAX(MIN($AX17,EOMONTH(BF$15,0))-MAX($AW17,BF$15)+1,),
$DH17="раб.день",
$BP17/30*(IFERROR(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$BP17*BF17,
$DH17="неделя",
$BP17*BF17/7*(ROUNDUP((DAY(EOMONTH(BF$15,0)))/4,0))),
0)</f>
        <v/>
      </c>
      <c r="BX17" s="121">
        <f t="array" ref="BX17">
IFERROR(
_xlfn.IFS(
$DH17="день_1",
$BP17*$BL17/($AX17-$AW17+1)*BG17*(DAY(EOMONTH(BG$15,0))),
$DH17="день_2",
$BP17/30*MAX(MIN($AX17,EOMONTH(BG$15,0))-MAX($AW17,BG$15)+1,),
$DH17="раб.день",
$BP17/30*(IFERROR(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$BP17*BG17,
$DH17="неделя",
$BP17*BG17/7*(ROUNDUP((DAY(EOMONTH(BG$15,0)))/4,0))),
0)</f>
        <v/>
      </c>
      <c r="BY17" s="121">
        <f t="array" ref="BY17">
IFERROR(
_xlfn.IFS(
$DH17="день_1",
$BP17*$BL17/($AX17-$AW17+1)*BH17*(DAY(EOMONTH(BH$15,0))),
$DH17="день_2",
$BP17/30*MAX(MIN($AX17,EOMONTH(BH$15,0))-MAX($AW17,BH$15)+1,),
$DH17="раб.день",
$BP17/30*(IFERROR(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$BP17*BH17,
$DH17="неделя",
$BP17*BH17/7*(ROUNDUP((DAY(EOMONTH(BH$15,0)))/4,0))),
0)</f>
        <v/>
      </c>
      <c r="BZ17" s="121">
        <f t="array" ref="BZ17">
IFERROR(
_xlfn.IFS(
$DH17="день_1",
$BP17*$BL17/($AX17-$AW17+1)*BI17*(DAY(EOMONTH(BI$15,0))),
$DH17="день_2",
$BP17/30*MAX(MIN($AX17,EOMONTH(BI$15,0))-MAX($AW17,BI$15)+1,),
$DH17="раб.день",
$BP17/30*(IFERROR(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$BP17*BI17,
$DH17="неделя",
$BP17*BI17/7*(ROUNDUP((DAY(EOMONTH(BI$15,0)))/4,0))),
0)</f>
        <v/>
      </c>
      <c r="CA17" s="121">
        <f t="array" ref="CA17">
IFERROR(
_xlfn.IFS(
$DH17="день_1",
$BP17*$BL17/($AX17-$AW17+1)*BJ17*(DAY(EOMONTH(BJ$15,0))),
$DH17="день_2",
$BP17/30*MAX(MIN($AX17,EOMONTH(BJ$15,0))-MAX($AW17,BJ$15)+1,),
$DH17="раб.день",
$BP17/30*(IFERROR(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$BP17*BJ17,
$DH17="неделя",
$BP17*BJ17/7*(ROUNDUP((DAY(EOMONTH(BJ$15,0)))/4,0))),
0)</f>
        <v/>
      </c>
      <c r="CB17" s="121">
        <f t="array" ref="CB17">
IFERROR(
_xlfn.IFS(
$DH17="день_1",
$BP17*$BL17/($AX17-$AW17+1)*BK17*(DAY(EOMONTH(BK$15,0))),
$DH17="день_2",
$BP17/30*MAX(MIN($AX17,EOMONTH(BK$15,0))-MAX($AW17,BK$15)+1,),
$DH17="раб.день",
$BP17/30*(IFERROR(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$BP17*BK17,
$DH17="неделя",
$BP17*BK17/7*(ROUNDUP((DAY(EOMONTH(BK$15,0)))/4,0))),
0)</f>
        <v/>
      </c>
      <c r="CC17" s="121">
        <f>SUM($BQ17:$CB17)</f>
        <v/>
      </c>
      <c r="CD17" s="122">
        <f>SUM($EH17:$EH17)</f>
        <v/>
      </c>
      <c r="CE17" s="122">
        <f>$CD17*$AB17</f>
        <v/>
      </c>
      <c r="CF17" s="122">
        <f>SUM($EK17:$EK17)</f>
        <v/>
      </c>
      <c r="CG17" s="122">
        <f>$CF17*$AB17</f>
        <v/>
      </c>
      <c r="CH17" s="122">
        <f>SUM($CC17,$CE17,$CG17)</f>
        <v/>
      </c>
      <c r="CI17" s="122">
        <f>$CH17*(1+$CM17)</f>
        <v/>
      </c>
      <c r="CJ17" s="123" t="n">
        <v>0</v>
      </c>
      <c r="CK17" s="122">
        <f>SUM($CH17:$CH17)*(1+$CJ17)</f>
        <v/>
      </c>
      <c r="CL17" s="122">
        <f>SUM($CH17:$CH17)*(1+$CM17)</f>
        <v/>
      </c>
      <c r="CM17" s="59" t="n"/>
      <c r="CN17" s="59" t="n"/>
      <c r="CO17" s="72" t="n"/>
      <c r="CP17" s="59" t="n"/>
      <c r="CQ17" s="73" t="n"/>
      <c r="CR17" s="73" t="n"/>
      <c r="CS17" s="73" t="n"/>
      <c r="CT17" s="72" t="n"/>
      <c r="CU17" s="79" t="inlineStr">
        <is>
          <t> </t>
        </is>
      </c>
      <c r="CV17" s="60" t="n"/>
      <c r="CW17" s="60" t="n"/>
      <c r="CX17" s="60" t="n"/>
      <c r="CY17" s="123">
        <f>IFERROR(($CC17-$EE17)/($EE17/(1-$DQ17)),0)</f>
        <v/>
      </c>
      <c r="CZ17" s="123">
        <f>IFERROR(1-$EI17/($CE17),0)</f>
        <v/>
      </c>
      <c r="DA17" s="123">
        <f>IFERROR(1-$EL17/($CG17),0)</f>
        <v/>
      </c>
      <c r="DB17" s="122">
        <f>ROUND(IFERROR(($CI17/(1+$CM17)-$EN17),0),2)</f>
        <v/>
      </c>
      <c r="DC17" s="124" t="n"/>
      <c r="DD17" s="121" t="n"/>
      <c r="DE17" s="75" t="n">
        <v>0</v>
      </c>
      <c r="DF17" s="124" t="n"/>
      <c r="DG17" s="121">
        <f>IF($DC17=0,0,$DD17*($DC17*100%-$DE17*$DF17))*SUM($AB17:$AB17)</f>
        <v/>
      </c>
      <c r="DH17" s="125" t="inlineStr">
        <is>
          <t>месяц</t>
        </is>
      </c>
      <c r="DI17" s="126">
        <f t="array" ref="DI17">IFERROR(
IF($ES17="LisChannel",
(ROUND(((INDEX({174.625;153.888888888889;130.972222222222},MATCH($AI17,{2;3;4}),0))*$AG17*$AI17),2)),0),0)</f>
        <v/>
      </c>
      <c r="DJ17" s="126">
        <f>
_xlfn.LET(_xlpm.X,
IFERROR(
IF($ES17="НовиковТВ",
(_xlfn.LET(_xlpm.NTV,
_xlfn.LET(_xlpm.MIN,350000,
IF(SUMIFS($DI:$DI,$ES:$ES,"НовиковТВ")&lt;=_xlpm.MIN,
(SUMIFS($DI:$DI,$ES:$ES,"НовиковТВ")/(COUNTIFS($ES:$ES,"НовиковТВ")))*_xlpm.MIN/SUMIFS($DI:$DI,$ES:$ES,"НовиковТВ"),
DI17)),
_xlpm.NTV+$DG17/(1-(1-(_xlpm.NTV)*(1-$DL17)*(1-$DM17)*(1-$DN17)*(1-$DO17)*(1-$DP17)/_xlpm.NTV))))/(1+$EP17),
$DI17+$DG17/(1-(1-($DI17)*(1-$DL17)*(1-$DM17)*(1-$DN17)*(1-$DO17)*(1-$DP17)/$DI17))),
0),
_xlpm.X*(1+$CM17)*(1+$CW17)-_xlpm.X*(1+$CM17)+_xlpm.X)</f>
        <v/>
      </c>
      <c r="DK17" s="121" t="inlineStr">
        <is>
          <t>послед.</t>
        </is>
      </c>
      <c r="DL17" s="63" t="n">
        <v>0</v>
      </c>
      <c r="DM17" s="63" t="n">
        <v>0</v>
      </c>
      <c r="DN17" s="63" t="n">
        <v>0</v>
      </c>
      <c r="DO17" s="63" t="n">
        <v>0</v>
      </c>
      <c r="DP17" s="63" t="n">
        <v>0</v>
      </c>
      <c r="DQ17" s="63">
        <f t="array" ref="DQ17">IFERROR(_xlfn.IFS(
$DK17="послед.",1-(1-$DL17)*(1-$DM17)*(1-$DN17)*(1-$DO17)*(1-$DP17),
$DK17="сумм.",$DL17+$DM17+$DN17+$DO17+$DP17),
0)</f>
        <v/>
      </c>
      <c r="DR17" s="121">
        <f t="array" ref="DR17">
IFERROR(
_xlfn.IFS(
$BL17=0,
0,
$BL17&gt;0,
_xlfn.IFS($DK17="послед.",
$DJ17*(1-$DL17)*(1-$DM17)*(1-$DN17)*(1-$DO17)*(1-$DP17),
$DK17="сумм.",
$DJ17*(1-($DL17+$DM17+$DN17+$DO17+$DP17)))),0)</f>
        <v/>
      </c>
      <c r="DS17" s="121">
        <f t="array" ref="DS17">
IFERROR(_xlfn.IFS(
$DH17="день_1",
$DR17*$BL17/($AX17-$AW17+1)*AZ17*(DAY(EOMONTH(AZ$15,0))),
$DH17="день_2",
$DR17/30*MAX(MIN($AX17,EOMONTH(AZ$15,0))-MAX($AW17,AZ$15)+1,),
$DH17="раб.день",
$DR17/30*(IFERROR(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$DR17*AZ17,
$DH17="неделя",
$DR17*AZ17/7*(ROUNDUP((DAY(EOMONTH(AZ$15,0)))/4,0))),
0)</f>
        <v/>
      </c>
      <c r="DT17" s="121">
        <f t="array" ref="DT17">
IFERROR(_xlfn.IFS(
$DH17="день_1",
$DR17*$BL17/($AX17-$AW17+1)*BA17*(DAY(EOMONTH(BA$15,0))),
$DH17="день_2",
$DR17/30*MAX(MIN($AX17,EOMONTH(BA$15,0))-MAX($AW17,BA$15)+1,),
$DH17="раб.день",
$DR17/30*(IFERROR(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$DR17*BA17,
$DH17="неделя",
$DR17*BA17/7*(ROUNDUP((DAY(EOMONTH(BA$15,0)))/4,0))),
0)</f>
        <v/>
      </c>
      <c r="DU17" s="121">
        <f t="array" ref="DU17">
IFERROR(_xlfn.IFS(
$DH17="день_1",
$DR17*$BL17/($AX17-$AW17+1)*BB17*(DAY(EOMONTH(BB$15,0))),
$DH17="день_2",
$DR17/30*MAX(MIN($AX17,EOMONTH(BB$15,0))-MAX($AW17,BB$15)+1,),
$DH17="раб.день",
$DR17/30*(IFERROR(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$DR17*BB17,
$DH17="неделя",
$DR17*BB17/7*(ROUNDUP((DAY(EOMONTH(BB$15,0)))/4,0))),
0)</f>
        <v/>
      </c>
      <c r="DV17" s="121">
        <f t="array" ref="DV17">
IFERROR(_xlfn.IFS(
$DH17="день_1",
$DR17*$BL17/($AX17-$AW17+1)*BC17*(DAY(EOMONTH(BC$15,0))),
$DH17="день_2",
$DR17/30*MAX(MIN($AX17,EOMONTH(BC$15,0))-MAX($AW17,BC$15)+1,),
$DH17="раб.день",
$DR17/30*(IFERROR(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$DR17*BC17,
$DH17="неделя",
$DR17*BC17/7*(ROUNDUP((DAY(EOMONTH(BC$15,0)))/4,0))),
0)</f>
        <v/>
      </c>
      <c r="DW17" s="121">
        <f t="array" ref="DW17">
IFERROR(_xlfn.IFS(
$DH17="день_1",
$DR17*$BL17/($AX17-$AW17+1)*BD17*(DAY(EOMONTH(BD$15,0))),
$DH17="день_2",
$DR17/30*MAX(MIN($AX17,EOMONTH(BD$15,0))-MAX($AW17,BD$15)+1,),
$DH17="раб.день",
$DR17/30*(IFERROR(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$DR17*BD17,
$DH17="неделя",
$DR17*BD17/7*(ROUNDUP((DAY(EOMONTH(BD$15,0)))/4,0))),
0)</f>
        <v/>
      </c>
      <c r="DX17" s="121">
        <f t="array" ref="DX17">
IFERROR(_xlfn.IFS(
$DH17="день_1",
$DR17*$BL17/($AX17-$AW17+1)*BE17*(DAY(EOMONTH(BE$15,0))),
$DH17="день_2",
$DR17/30*MAX(MIN($AX17,EOMONTH(BE$15,0))-MAX($AW17,BE$15)+1,),
$DH17="раб.день",
$DR17/30*(IFERROR(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$DR17*BE17,
$DH17="неделя",
$DR17*BE17/7*(ROUNDUP((DAY(EOMONTH(BE$15,0)))/4,0))),
0)</f>
        <v/>
      </c>
      <c r="DY17" s="121">
        <f t="array" ref="DY17">
IFERROR(_xlfn.IFS(
$DH17="день_1",
$DR17*$BL17/($AX17-$AW17+1)*BF17*(DAY(EOMONTH(BF$15,0))),
$DH17="день_2",
$DR17/30*MAX(MIN($AX17,EOMONTH(BF$15,0))-MAX($AW17,BF$15)+1,),
$DH17="раб.день",
$DR17/30*(IFERROR(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$DR17*BF17,
$DH17="неделя",
$DR17*BF17/7*(ROUNDUP((DAY(EOMONTH(BF$15,0)))/4,0))),
0)</f>
        <v/>
      </c>
      <c r="DZ17" s="121">
        <f t="array" ref="DZ17">
IFERROR(_xlfn.IFS(
$DH17="день_1",
$DR17*$BL17/($AX17-$AW17+1)*BG17*(DAY(EOMONTH(BG$15,0))),
$DH17="день_2",
$DR17/30*MAX(MIN($AX17,EOMONTH(BG$15,0))-MAX($AW17,BG$15)+1,),
$DH17="раб.день",
$DR17/30*(IFERROR(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$DR17*BG17,
$DH17="неделя",
$DR17*BG17/7*(ROUNDUP((DAY(EOMONTH(BG$15,0)))/4,0))),
0)</f>
        <v/>
      </c>
      <c r="EA17" s="121">
        <f t="array" ref="EA17">
IFERROR(_xlfn.IFS(
$DH17="день_1",
$DR17*$BL17/($AX17-$AW17+1)*BH17*(DAY(EOMONTH(BH$15,0))),
$DH17="день_2",
$DR17/30*MAX(MIN($AX17,EOMONTH(BH$15,0))-MAX($AW17,BH$15)+1,),
$DH17="раб.день",
$DR17/30*(IFERROR(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$DR17*BH17,
$DH17="неделя",
$DR17*BH17/7*(ROUNDUP((DAY(EOMONTH(BH$15,0)))/4,0))),
0)</f>
        <v/>
      </c>
      <c r="EB17" s="121">
        <f t="array" ref="EB17">
IFERROR(_xlfn.IFS(
$DH17="день_1",
$DR17*$BL17/($AX17-$AW17+1)*BI17*(DAY(EOMONTH(BI$15,0))),
$DH17="день_2",
$DR17/30*MAX(MIN($AX17,EOMONTH(BI$15,0))-MAX($AW17,BI$15)+1,),
$DH17="раб.день",
$DR17/30*(IFERROR(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$DR17*BI17,
$DH17="неделя",
$DR17*BI17/7*(ROUNDUP((DAY(EOMONTH(BI$15,0)))/4,0))),
0)</f>
        <v/>
      </c>
      <c r="EC17" s="121">
        <f t="array" ref="EC17">
IFERROR(_xlfn.IFS(
$DH17="день_1",
$DR17*$BL17/($AX17-$AW17+1)*BJ17*(DAY(EOMONTH(BJ$15,0))),
$DH17="день_2",
$DR17/30*MAX(MIN($AX17,EOMONTH(BJ$15,0))-MAX($AW17,BJ$15)+1,),
$DH17="раб.день",
$DR17/30*(IFERROR(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$DR17*BJ17,
$DH17="неделя",
$DR17*BJ17/7*(ROUNDUP((DAY(EOMONTH(BJ$15,0)))/4,0))),
0)</f>
        <v/>
      </c>
      <c r="ED17" s="121">
        <f t="array" ref="ED17">
IFERROR(_xlfn.IFS(
$DH17="день_1",
$DR17*$BL17/($AX17-$AW17+1)*BK17*(DAY(EOMONTH(BK$15,0))),
$DH17="день_2",
$DR17/30*MAX(MIN($AX17,EOMONTH(BK$15,0))-MAX($AW17,BK$15)+1,),
$DH17="раб.день",
$DR17/30*(IFERROR(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$DR17*BK17,
$DH17="неделя",
$DR17*BK17/7*(ROUNDUP((DAY(EOMONTH(BK$15,0)))/4,0))),
0)</f>
        <v/>
      </c>
      <c r="EE17" s="121">
        <f>SUM($DS17,$DT17,$DU17,$DV17,$DW17,$DX17,$DY17,$DZ17,$EA17,$EB17,$EC17,$ED17)</f>
        <v/>
      </c>
      <c r="EF17" s="121">
        <f>IFERROR(ROUND($EE17*(1+$EP17),2),0)</f>
        <v/>
      </c>
      <c r="EG17" s="124" t="n">
        <v>1</v>
      </c>
      <c r="EH17" s="122" t="n">
        <v>0</v>
      </c>
      <c r="EI17" s="122">
        <f>ROUND(SUM($EH17:$EH17)*SUM($AB17:$AB17)*$EG17,2)</f>
        <v/>
      </c>
      <c r="EJ17" s="122">
        <f>ROUND($EI17*(1+$EP17),2)</f>
        <v/>
      </c>
      <c r="EK17" s="122" t="n">
        <v>0</v>
      </c>
      <c r="EL17" s="122">
        <f>ROUND(SUM($EK17:$EK17)*SUM($AB17:$AB17)*$EG17,2)</f>
        <v/>
      </c>
      <c r="EM17" s="122">
        <f>ROUND($EL17*(1+$EP17),2)</f>
        <v/>
      </c>
      <c r="EN17" s="122">
        <f>SUM($EE17,$EI17,$EL17)</f>
        <v/>
      </c>
      <c r="EO17" s="122">
        <f>SUM($EF17,$EJ17,$EM17)</f>
        <v/>
      </c>
      <c r="EP17" s="59" t="n"/>
      <c r="EQ17" s="59" t="n"/>
      <c r="ER17" s="60">
        <f t="array" ref="ER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
{"AMS";"RussOutdoor";"HD Outdoor";"Ingroup";"IQ";"Ledproduction";"LisChannel";"Logic";"Media-PPL";"NovikovTV | НовиковТВ";"SMA";"SOK";"КрокусТВ | CrocusTV | IndoorTV";"Сити";"ТЯК Москва"},
0)),"")</f>
        <v/>
      </c>
      <c r="ES17" s="60" t="n"/>
      <c r="ET17" s="60">
        <f t="array" ref="ET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
{"AMS";"RussOutdoor";"HD Outdoor";"Ingroup";"IQ";"Ledproduction";"LisChannel";"Logic";"Media-PPL";"NovikovTV | НовиковТВ";"SMA";"SOK";"КрокусТВ | CrocusTV | IndoorTV";"Сити";"ТЯК Москва"},
0)),"")</f>
        <v/>
      </c>
      <c r="EU17" s="60" t="n"/>
      <c r="EV17" s="60" t="n"/>
      <c r="EW17" t="inlineStr">
        <is>
          <t> </t>
        </is>
      </c>
    </row>
    <row r="18">
      <c r="A18" s="59" t="n"/>
      <c r="B18" s="60" t="n"/>
      <c r="C18" s="60" t="n"/>
      <c r="D18" s="60">
        <f t="array" ref="D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 s="60">
        <f t="array" ref="E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 s="60" t="inlineStr"/>
      <c r="G18" s="60" t="n"/>
      <c r="H18" s="60">
        <f t="array" ref="H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 s="60" t="n"/>
      <c r="J18" s="60" t="n"/>
      <c r="K18" s="60" t="n"/>
      <c r="L18" s="60" t="n"/>
      <c r="M18" s="60" t="n"/>
      <c r="N18" s="60" t="n"/>
      <c r="O18" s="60" t="n"/>
      <c r="P18" s="60">
        <f t="array" ref="P18">
_xlfn.IFS(
ISNUMBER(MATCH($Q18,{"шелфбаннер","разделитель","монетница","чековая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ISNUMBER(MATCH($Q18,{"каталог","журнал"},)),
"Пресса",
$Q18="","")</f>
        <v/>
      </c>
      <c r="Q18" s="60" t="n"/>
      <c r="R18" s="60">
        <f t="array" ref="R18">
IFERROR(
_xlfn.IFS(
OR(ISNUMBER(MATCH($Q18,{"экспозиция","макет","стенд","автостенд","авто стенд","выставочное пространство","выставочные стенды","модульные выставочные стенды","3Д конструкция","3D конструкция"},)),P18="Экспонирование"),
"нестандартный",
ISNUMBER(MATCH($Q18,{"скроллер","призматрон"},)),
"динамический",
$P18="Видео",
"цифровой",
OR($P18="Пресса",$P18="Щит",$P18="POSm",$P18="Подвес",$P18="Брендирование/оклейка"),
"статический"),"")</f>
        <v/>
      </c>
      <c r="S18" s="59" t="n"/>
      <c r="T18" s="60" t="n"/>
      <c r="U18" s="60" t="n"/>
      <c r="V18" s="60">
        <f>
IF(P18="Видео",
"цифровой постер/ролик",
IF(ISNUMBER(MATCH(Q18,{"короб световой","короб световой | лайтбокс","короб световой | кристалайт","лайтбокс","лайт бокс","кристалайт","LB","lightbox"},)),
"бэклит",
IF(P18="Брендирование/оклейка",
"перфарированная пленка/самоклейка",
IF(P18="Экспонирование",
"под запрос",
IF(P18="Подвес",
"баннер/ткань",
"")))))</f>
        <v/>
      </c>
      <c r="W18" s="59" t="n"/>
      <c r="X18" s="59" t="n"/>
      <c r="Y18" s="59" t="n"/>
      <c r="Z18" s="61" t="n"/>
      <c r="AA18" s="61" t="n"/>
      <c r="AB18" s="61">
        <f>IF(BL18&gt;0,Z18,0)</f>
        <v/>
      </c>
      <c r="AC18" s="59" t="n"/>
      <c r="AD18" s="59" t="n"/>
      <c r="AE18" s="59" t="n"/>
      <c r="AF18" s="59" t="n"/>
      <c r="AG18" s="59" t="n">
        <v>17</v>
      </c>
      <c r="AH18" s="59" t="e">
        <v>#VALUE!</v>
      </c>
      <c r="AI18" s="59" t="n"/>
      <c r="AJ18" s="59" t="n"/>
      <c r="AK18" s="59" t="n"/>
      <c r="AL18" s="62">
        <f>IFERROR(IF(OR(R18="статический",R18="динамический",R18="нестандартный",R18="",R18=""),"-",IF(AND(AH18="-",AI18="-"),"-",AK18*3600/AH18*AI18)),"-")</f>
        <v/>
      </c>
      <c r="AM18" s="62">
        <f>IFERROR(IF(OR(R18="статический",R18="динамический",R18="",R18="", R18="BTL",R18="нестандартный"),"-",AG18*AI18*AL18/60),"-")</f>
        <v/>
      </c>
      <c r="AN18" s="63">
        <f>IFERROR(IF(AH18="","-",AG18*AI18/AH18),"-")</f>
        <v/>
      </c>
      <c r="AO18" s="59">
        <f>IFERROR(IF(OR($R18="статический",$R18="динамический",$R18="",$R18="",$R18="BTL",$R18="нестандартный"),"-",$AL18*$AY18),"-")</f>
        <v/>
      </c>
      <c r="AP18" s="62">
        <f>IFERROR(IF(OR($R18="статический",$R18="динамический",$R18="",$R18="",$R18="BTL",$R18="нестандартный"),"-",$AM18*AY18),"-")</f>
        <v/>
      </c>
      <c r="AQ18" s="64" t="n"/>
      <c r="AR18" s="61" t="n"/>
      <c r="AS18" s="61" t="n"/>
      <c r="AT18" s="61" t="n"/>
      <c r="AU18" s="65" t="n"/>
      <c r="AV18" s="120">
        <f>IFERROR(DR18/AT18*1000,"n/a")</f>
        <v/>
      </c>
      <c r="AW18" s="67" t="n"/>
      <c r="AX18" s="67" t="n"/>
      <c r="AY18" s="43">
        <f>IFERROR(IF(OR($AW18="",$AX18=""),"",_xlfn.DAYS($AX18+1,$AW18)),"")</f>
        <v/>
      </c>
      <c r="AZ18" s="68">
        <f t="array" ref="AZ18">
_xlfn.LET(_xlpm.COEFF,
IF($AW18+$AX18=0,0,IF(MAX(MIN($AX18,EOMONTH(AZ$15,0))-MAX($AW18,AZ$15)+1,)&gt;0,1,0)),
_xlfn.IFS(
$ES18="LisChannel",
_xlpm.COEFF*
INDEX({1;1;1.2;1.2;1;1;1;1;1.2;1.2;1.2;1.2},
MATCH(MONTH(AZ$15),
{1,2,3,4,5,6,7,8,9,10,11,12})),
CONCATENATE($ES18," ",$L18)="RussOutdoor метро",
_xlpm.COEFF*
INDEX({0.8;0.9;1.1;1.1;1;1;1;1;1.1;1.1;1.1;1.1},
MATCH(MONTH(AZ$15),
{1,2,3,4,5,6,7,8,9,10,11,12})),
$ES18&lt;&gt;"LisChannel",
_xlpm.COEFF,
$ES18&lt;&gt;"RussOutdoor",
_xlpm.COEFF))</f>
        <v/>
      </c>
      <c r="BA18" s="68">
        <f t="array" ref="BA18">
_xlfn.LET(_xlpm.COEFF,
IF($AW18+$AX18=0,0,IF(MAX(MIN($AX18,EOMONTH(BA$15,0))-MAX($AW18,BA$15)+1,)&gt;0,1,0)),
_xlfn.IFS(
$ES18="LisChannel",
_xlpm.COEFF*
INDEX({1;1;1.2;1.2;1;1;1;1;1.2;1.2;1.2;1.2},
MATCH(MONTH(BA$15),
{1,2,3,4,5,6,7,8,9,10,11,12})),
CONCATENATE($ES18," ",$L18)="RussOutdoor метро",
_xlpm.COEFF*
INDEX({0.8;0.9;1.1;1.1;1;1;1;1;1.1;1.1;1.1;1.1},
MATCH(MONTH(BA$15),
{1,2,3,4,5,6,7,8,9,10,11,12})),
$ES18&lt;&gt;"LisChannel",
_xlpm.COEFF,
$ES18&lt;&gt;"RussOutdoor",
_xlpm.COEFF))</f>
        <v/>
      </c>
      <c r="BB18" s="68">
        <f t="array" ref="BB18">
_xlfn.LET(_xlpm.COEFF,
IF($AW18+$AX18=0,0,IF(MAX(MIN($AX18,EOMONTH(BB$15,0))-MAX($AW18,BB$15)+1,)&gt;0,1,0)),
_xlfn.IFS(
$ES18="LisChannel",
_xlpm.COEFF*
INDEX({1;1;1.2;1.2;1;1;1;1;1.2;1.2;1.2;1.2},
MATCH(MONTH(BB$15),
{1,2,3,4,5,6,7,8,9,10,11,12})),
CONCATENATE($ES18," ",$L18)="RussOutdoor метро",
_xlpm.COEFF*
INDEX({0.8;0.9;1.1;1.1;1;1;1;1;1.1;1.1;1.1;1.1},
MATCH(MONTH(BB$15),
{1,2,3,4,5,6,7,8,9,10,11,12})),
$ES18&lt;&gt;"LisChannel",
_xlpm.COEFF,
$ES18&lt;&gt;"RussOutdoor",
_xlpm.COEFF))</f>
        <v/>
      </c>
      <c r="BC18" s="68">
        <f t="array" ref="BC18">
_xlfn.LET(_xlpm.COEFF,
IF($AW18+$AX18=0,0,IF(MAX(MIN($AX18,EOMONTH(BC$15,0))-MAX($AW18,BC$15)+1,)&gt;0,1,0)),
_xlfn.IFS(
$ES18="LisChannel",
_xlpm.COEFF*
INDEX({1;1;1.2;1.2;1;1;1;1;1.2;1.2;1.2;1.2},
MATCH(MONTH(BC$15),
{1,2,3,4,5,6,7,8,9,10,11,12})),
CONCATENATE($ES18," ",$L18)="RussOutdoor метро",
_xlpm.COEFF*
INDEX({0.8;0.9;1.1;1.1;1;1;1;1;1.1;1.1;1.1;1.1},
MATCH(MONTH(BC$15),
{1,2,3,4,5,6,7,8,9,10,11,12})),
$ES18&lt;&gt;"LisChannel",
_xlpm.COEFF,
$ES18&lt;&gt;"RussOutdoor",
_xlpm.COEFF))</f>
        <v/>
      </c>
      <c r="BD18" s="68">
        <f t="array" ref="BD18">
_xlfn.LET(_xlpm.COEFF,
IF($AW18+$AX18=0,0,IF(MAX(MIN($AX18,EOMONTH(BD$15,0))-MAX($AW18,BD$15)+1,)&gt;0,1,0)),
_xlfn.IFS(
$ES18="LisChannel",
_xlpm.COEFF*
INDEX({1;1;1.2;1.2;1;1;1;1;1.2;1.2;1.2;1.2},
MATCH(MONTH(BD$15),
{1,2,3,4,5,6,7,8,9,10,11,12})),
CONCATENATE($ES18," ",$L18)="RussOutdoor метро",
_xlpm.COEFF*
INDEX({0.8;0.9;1.1;1.1;1;1;1;1;1.1;1.1;1.1;1.1},
MATCH(MONTH(BD$15),
{1,2,3,4,5,6,7,8,9,10,11,12})),
$ES18&lt;&gt;"LisChannel",
_xlpm.COEFF,
$ES18&lt;&gt;"RussOutdoor",
_xlpm.COEFF))</f>
        <v/>
      </c>
      <c r="BE18" s="68">
        <f t="array" ref="BE18">
_xlfn.LET(_xlpm.COEFF,
IF($AW18+$AX18=0,0,IF(MAX(MIN($AX18,EOMONTH(BE$15,0))-MAX($AW18,BE$15)+1,)&gt;0,1,0)),
_xlfn.IFS(
$ES18="LisChannel",
_xlpm.COEFF*
INDEX({1;1;1.2;1.2;1;1;1;1;1.2;1.2;1.2;1.2},
MATCH(MONTH(BE$15),
{1,2,3,4,5,6,7,8,9,10,11,12})),
CONCATENATE($ES18," ",$L18)="RussOutdoor метро",
_xlpm.COEFF*
INDEX({0.8;0.9;1.1;1.1;1;1;1;1;1.1;1.1;1.1;1.1},
MATCH(MONTH(BE$15),
{1,2,3,4,5,6,7,8,9,10,11,12})),
$ES18&lt;&gt;"LisChannel",
_xlpm.COEFF,
$ES18&lt;&gt;"RussOutdoor",
_xlpm.COEFF))</f>
        <v/>
      </c>
      <c r="BF18" s="68">
        <f t="array" ref="BF18">
_xlfn.LET(_xlpm.COEFF,
IF($AW18+$AX18=0,0,IF(MAX(MIN($AX18,EOMONTH(BF$15,0))-MAX($AW18,BF$15)+1,)&gt;0,1,0)),
_xlfn.IFS(
$ES18="LisChannel",
_xlpm.COEFF*
INDEX({1;1;1.2;1.2;1;1;1;1;1.2;1.2;1.2;1.2},
MATCH(MONTH(BF$15),
{1,2,3,4,5,6,7,8,9,10,11,12})),
CONCATENATE($ES18," ",$L18)="RussOutdoor метро",
_xlpm.COEFF*
INDEX({0.8;0.9;1.1;1.1;1;1;1;1;1.1;1.1;1.1;1.1},
MATCH(MONTH(BF$15),
{1,2,3,4,5,6,7,8,9,10,11,12})),
$ES18&lt;&gt;"LisChannel",
_xlpm.COEFF,
$ES18&lt;&gt;"RussOutdoor",
_xlpm.COEFF))</f>
        <v/>
      </c>
      <c r="BG18" s="68">
        <f t="array" ref="BG18">
_xlfn.LET(_xlpm.COEFF,
IF($AW18+$AX18=0,0,IF(MAX(MIN($AX18,EOMONTH(BG$15,0))-MAX($AW18,BG$15)+1,)&gt;0,1,0)),
_xlfn.IFS(
$ES18="LisChannel",
_xlpm.COEFF*
INDEX({1;1;1.2;1.2;1;1;1;1;1.2;1.2;1.2;1.2},
MATCH(MONTH(BG$15),
{1,2,3,4,5,6,7,8,9,10,11,12})),
CONCATENATE($ES18," ",$L18)="RussOutdoor метро",
_xlpm.COEFF*
INDEX({0.8;0.9;1.1;1.1;1;1;1;1;1.1;1.1;1.1;1.1},
MATCH(MONTH(BG$15),
{1,2,3,4,5,6,7,8,9,10,11,12})),
$ES18&lt;&gt;"LisChannel",
_xlpm.COEFF,
$ES18&lt;&gt;"RussOutdoor",
_xlpm.COEFF))</f>
        <v/>
      </c>
      <c r="BH18" s="68">
        <f t="array" ref="BH18">
_xlfn.LET(_xlpm.COEFF,
IF($AW18+$AX18=0,0,IF(MAX(MIN($AX18,EOMONTH(BH$15,0))-MAX($AW18,BH$15)+1,)&gt;0,1,0)),
_xlfn.IFS(
$ES18="LisChannel",
_xlpm.COEFF*
INDEX({1;1;1.2;1.2;1;1;1;1;1.2;1.2;1.2;1.2},
MATCH(MONTH(BH$15),
{1,2,3,4,5,6,7,8,9,10,11,12})),
CONCATENATE($ES18," ",$L18)="RussOutdoor метро",
_xlpm.COEFF*
INDEX({0.8;0.9;1.1;1.1;1;1;1;1;1.1;1.1;1.1;1.1},
MATCH(MONTH(BH$15),
{1,2,3,4,5,6,7,8,9,10,11,12})),
$ES18&lt;&gt;"LisChannel",
_xlpm.COEFF,
$ES18&lt;&gt;"RussOutdoor",
_xlpm.COEFF))</f>
        <v/>
      </c>
      <c r="BI18" s="68">
        <f t="array" ref="BI18">
_xlfn.LET(_xlpm.COEFF,
IF($AW18+$AX18=0,0,IF(MAX(MIN($AX18,EOMONTH(BI$15,0))-MAX($AW18,BI$15)+1,)&gt;0,1,0)),
_xlfn.IFS(
$ES18="LisChannel",
_xlpm.COEFF*
INDEX({1;1;1.2;1.2;1;1;1;1;1.2;1.2;1.2;1.2},
MATCH(MONTH(BI$15),
{1,2,3,4,5,6,7,8,9,10,11,12})),
CONCATENATE($ES18," ",$L18)="RussOutdoor метро",
_xlpm.COEFF*
INDEX({0.8;0.9;1.1;1.1;1;1;1;1;1.1;1.1;1.1;1.1},
MATCH(MONTH(BI$15),
{1,2,3,4,5,6,7,8,9,10,11,12})),
$ES18&lt;&gt;"LisChannel",
_xlpm.COEFF,
$ES18&lt;&gt;"RussOutdoor",
_xlpm.COEFF))</f>
        <v/>
      </c>
      <c r="BJ18" s="68">
        <f t="array" ref="BJ18">
_xlfn.LET(_xlpm.COEFF,
IF($AW18+$AX18=0,0,IF(MAX(MIN($AX18,EOMONTH(BJ$15,0))-MAX($AW18,BJ$15)+1,)&gt;0,1,0)),
_xlfn.IFS(
$ES18="LisChannel",
_xlpm.COEFF*
INDEX({1;1;1.2;1.2;1;1;1;1;1.2;1.2;1.2;1.2},
MATCH(MONTH(BJ$15),
{1,2,3,4,5,6,7,8,9,10,11,12})),
CONCATENATE($ES18," ",$L18)="RussOutdoor метро",
_xlpm.COEFF*
INDEX({0.8;0.9;1.1;1.1;1;1;1;1;1.1;1.1;1.1;1.1},
MATCH(MONTH(BJ$15),
{1,2,3,4,5,6,7,8,9,10,11,12})),
$ES18&lt;&gt;"LisChannel",
_xlpm.COEFF,
$ES18&lt;&gt;"RussOutdoor",
_xlpm.COEFF))</f>
        <v/>
      </c>
      <c r="BK18" s="68">
        <f t="array" ref="BK18">
_xlfn.LET(_xlpm.COEFF,
IF($AW18+$AX18=0,0,IF(MAX(MIN($AX18,EOMONTH(BK$15,0))-MAX($AW18,BK$15)+1,)&gt;0,1,0)),
_xlfn.IFS(
$ES18="LisChannel",
_xlpm.COEFF*
INDEX({1;1;1.2;1.2;1;1;1;1;1.2;1.2;1.2;1.2},
MATCH(MONTH(BK$15),
{1,2,3,4,5,6,7,8,9,10,11,12})),
CONCATENATE($ES18," ",$L18)="RussOutdoor метро",
_xlpm.COEFF*
INDEX({0.8;0.9;1.1;1.1;1;1;1;1;1.1;1.1;1.1;1.1},
MATCH(MONTH(BK$15),
{1,2,3,4,5,6,7,8,9,10,11,12})),
$ES18&lt;&gt;"LisChannel",
_xlpm.COEFF,
$ES18&lt;&gt;"RussOutdoor",
_xlpm.COEFF))</f>
        <v/>
      </c>
      <c r="BL18" s="62">
        <f>COUNTIFS($AZ18:$BK18,"&gt;0")</f>
        <v/>
      </c>
      <c r="BM18" s="65" t="n"/>
      <c r="BN18" s="121">
        <f>$DJ18</f>
        <v/>
      </c>
      <c r="BO18" s="63">
        <f>$DQ18</f>
        <v/>
      </c>
      <c r="BP18" s="121">
        <f>
IFERROR(
IF($BL18=0,0,
$BN18*(1-$BO18)),
0)</f>
        <v/>
      </c>
      <c r="BQ18" s="121">
        <f t="array" ref="BQ18">
IFERROR(
_xlfn.IFS(
$DH18="день_1",
$BP18*$BL18/($AX18-$AW18+1)*AZ18*(DAY(EOMONTH(AZ$15,0))),
$DH18="день_2",
$BP18/30*MAX(MIN($AX18,EOMONTH(AZ$15,0))-MAX($AW18,AZ$15)+1,),
$DH18="раб.день",
$BP18/30*(IFERROR(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$BP18*AZ18,
$DH18="неделя",
$BP18*AZ18/7*(ROUNDUP((DAY(EOMONTH(AZ$15,0)))/4,0))),
0)</f>
        <v/>
      </c>
      <c r="BR18" s="121">
        <f t="array" ref="BR18">
IFERROR(
_xlfn.IFS(
$DH18="день_1",
$BP18*$BL18/($AX18-$AW18+1)*BA18*(DAY(EOMONTH(BA$15,0))),
$DH18="день_2",
$BP18/30*MAX(MIN($AX18,EOMONTH(BA$15,0))-MAX($AW18,BA$15)+1,),
$DH18="раб.день",
$BP18/30*(IFERROR(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$BP18*BA18,
$DH18="неделя",
$BP18*BA18/7*(ROUNDUP((DAY(EOMONTH(BA$15,0)))/4,0))),
0)</f>
        <v/>
      </c>
      <c r="BS18" s="121">
        <f t="array" ref="BS18">
IFERROR(
_xlfn.IFS(
$DH18="день_1",
$BP18*$BL18/($AX18-$AW18+1)*BB18*(DAY(EOMONTH(BB$15,0))),
$DH18="день_2",
$BP18/30*MAX(MIN($AX18,EOMONTH(BB$15,0))-MAX($AW18,BB$15)+1,),
$DH18="раб.день",
$BP18/30*(IFERROR(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$BP18*BB18,
$DH18="неделя",
$BP18*BB18/7*(ROUNDUP((DAY(EOMONTH(BB$15,0)))/4,0))),
0)</f>
        <v/>
      </c>
      <c r="BT18" s="121">
        <f t="array" ref="BT18">
IFERROR(
_xlfn.IFS(
$DH18="день_1",
$BP18*$BL18/($AX18-$AW18+1)*BC18*(DAY(EOMONTH(BC$15,0))),
$DH18="день_2",
$BP18/30*MAX(MIN($AX18,EOMONTH(BC$15,0))-MAX($AW18,BC$15)+1,),
$DH18="раб.день",
$BP18/30*(IFERROR(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$BP18*BC18,
$DH18="неделя",
$BP18*BC18/7*(ROUNDUP((DAY(EOMONTH(BC$15,0)))/4,0))),
0)</f>
        <v/>
      </c>
      <c r="BU18" s="121">
        <f t="array" ref="BU18">
IFERROR(
_xlfn.IFS(
$DH18="день_1",
$BP18*$BL18/($AX18-$AW18+1)*BD18*(DAY(EOMONTH(BD$15,0))),
$DH18="день_2",
$BP18/30*MAX(MIN($AX18,EOMONTH(BD$15,0))-MAX($AW18,BD$15)+1,),
$DH18="раб.день",
$BP18/30*(IFERROR(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$BP18*BD18,
$DH18="неделя",
$BP18*BD18/7*(ROUNDUP((DAY(EOMONTH(BD$15,0)))/4,0))),
0)</f>
        <v/>
      </c>
      <c r="BV18" s="121">
        <f t="array" ref="BV18">
IFERROR(
_xlfn.IFS(
$DH18="день_1",
$BP18*$BL18/($AX18-$AW18+1)*BE18*(DAY(EOMONTH(BE$15,0))),
$DH18="день_2",
$BP18/30*MAX(MIN($AX18,EOMONTH(BE$15,0))-MAX($AW18,BE$15)+1,),
$DH18="раб.день",
$BP18/30*(IFERROR(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$BP18*BE18,
$DH18="неделя",
$BP18*BE18/7*(ROUNDUP((DAY(EOMONTH(BE$15,0)))/4,0))),
0)</f>
        <v/>
      </c>
      <c r="BW18" s="121">
        <f t="array" ref="BW18">
IFERROR(
_xlfn.IFS(
$DH18="день_1",
$BP18*$BL18/($AX18-$AW18+1)*BF18*(DAY(EOMONTH(BF$15,0))),
$DH18="день_2",
$BP18/30*MAX(MIN($AX18,EOMONTH(BF$15,0))-MAX($AW18,BF$15)+1,),
$DH18="раб.день",
$BP18/30*(IFERROR(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$BP18*BF18,
$DH18="неделя",
$BP18*BF18/7*(ROUNDUP((DAY(EOMONTH(BF$15,0)))/4,0))),
0)</f>
        <v/>
      </c>
      <c r="BX18" s="121">
        <f t="array" ref="BX18">
IFERROR(
_xlfn.IFS(
$DH18="день_1",
$BP18*$BL18/($AX18-$AW18+1)*BG18*(DAY(EOMONTH(BG$15,0))),
$DH18="день_2",
$BP18/30*MAX(MIN($AX18,EOMONTH(BG$15,0))-MAX($AW18,BG$15)+1,),
$DH18="раб.день",
$BP18/30*(IFERROR(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$BP18*BG18,
$DH18="неделя",
$BP18*BG18/7*(ROUNDUP((DAY(EOMONTH(BG$15,0)))/4,0))),
0)</f>
        <v/>
      </c>
      <c r="BY18" s="121">
        <f t="array" ref="BY18">
IFERROR(
_xlfn.IFS(
$DH18="день_1",
$BP18*$BL18/($AX18-$AW18+1)*BH18*(DAY(EOMONTH(BH$15,0))),
$DH18="день_2",
$BP18/30*MAX(MIN($AX18,EOMONTH(BH$15,0))-MAX($AW18,BH$15)+1,),
$DH18="раб.день",
$BP18/30*(IFERROR(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$BP18*BH18,
$DH18="неделя",
$BP18*BH18/7*(ROUNDUP((DAY(EOMONTH(BH$15,0)))/4,0))),
0)</f>
        <v/>
      </c>
      <c r="BZ18" s="121">
        <f t="array" ref="BZ18">
IFERROR(
_xlfn.IFS(
$DH18="день_1",
$BP18*$BL18/($AX18-$AW18+1)*BI18*(DAY(EOMONTH(BI$15,0))),
$DH18="день_2",
$BP18/30*MAX(MIN($AX18,EOMONTH(BI$15,0))-MAX($AW18,BI$15)+1,),
$DH18="раб.день",
$BP18/30*(IFERROR(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$BP18*BI18,
$DH18="неделя",
$BP18*BI18/7*(ROUNDUP((DAY(EOMONTH(BI$15,0)))/4,0))),
0)</f>
        <v/>
      </c>
      <c r="CA18" s="121">
        <f t="array" ref="CA18">
IFERROR(
_xlfn.IFS(
$DH18="день_1",
$BP18*$BL18/($AX18-$AW18+1)*BJ18*(DAY(EOMONTH(BJ$15,0))),
$DH18="день_2",
$BP18/30*MAX(MIN($AX18,EOMONTH(BJ$15,0))-MAX($AW18,BJ$15)+1,),
$DH18="раб.день",
$BP18/30*(IFERROR(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$BP18*BJ18,
$DH18="неделя",
$BP18*BJ18/7*(ROUNDUP((DAY(EOMONTH(BJ$15,0)))/4,0))),
0)</f>
        <v/>
      </c>
      <c r="CB18" s="121">
        <f t="array" ref="CB18">
IFERROR(
_xlfn.IFS(
$DH18="день_1",
$BP18*$BL18/($AX18-$AW18+1)*BK18*(DAY(EOMONTH(BK$15,0))),
$DH18="день_2",
$BP18/30*MAX(MIN($AX18,EOMONTH(BK$15,0))-MAX($AW18,BK$15)+1,),
$DH18="раб.день",
$BP18/30*(IFERROR(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$BP18*BK18,
$DH18="неделя",
$BP18*BK18/7*(ROUNDUP((DAY(EOMONTH(BK$15,0)))/4,0))),
0)</f>
        <v/>
      </c>
      <c r="CC18" s="121">
        <f>SUM($BQ18:$CB18)</f>
        <v/>
      </c>
      <c r="CD18" s="122">
        <f>SUM($EH18:$EH18)</f>
        <v/>
      </c>
      <c r="CE18" s="122">
        <f>$CD18*$AB18</f>
        <v/>
      </c>
      <c r="CF18" s="122">
        <f>SUM($EK18:$EK18)</f>
        <v/>
      </c>
      <c r="CG18" s="122">
        <f>$CF18*$AB18</f>
        <v/>
      </c>
      <c r="CH18" s="122">
        <f>SUM($CC18,$CE18,$CG18)</f>
        <v/>
      </c>
      <c r="CI18" s="122">
        <f>$CH18*(1+$CM18)</f>
        <v/>
      </c>
      <c r="CJ18" s="123" t="n">
        <v>0</v>
      </c>
      <c r="CK18" s="122">
        <f>SUM($CH18:$CH18)*(1+$CJ18)</f>
        <v/>
      </c>
      <c r="CL18" s="122">
        <f>SUM($CH18:$CH18)*(1+$CM18)</f>
        <v/>
      </c>
      <c r="CM18" s="59" t="n"/>
      <c r="CN18" s="59" t="n"/>
      <c r="CO18" s="72" t="n"/>
      <c r="CP18" s="59" t="n"/>
      <c r="CQ18" s="73" t="n"/>
      <c r="CR18" s="73" t="n"/>
      <c r="CS18" s="73" t="n"/>
      <c r="CT18" s="72" t="n"/>
      <c r="CU18" s="79" t="inlineStr">
        <is>
          <t> </t>
        </is>
      </c>
      <c r="CV18" s="60" t="n"/>
      <c r="CW18" s="60" t="n"/>
      <c r="CX18" s="60" t="n"/>
      <c r="CY18" s="123">
        <f>IFERROR(($CC18-$EE18)/($EE18/(1-$DQ18)),0)</f>
        <v/>
      </c>
      <c r="CZ18" s="123">
        <f>IFERROR(1-$EI18/($CE18),0)</f>
        <v/>
      </c>
      <c r="DA18" s="123">
        <f>IFERROR(1-$EL18/($CG18),0)</f>
        <v/>
      </c>
      <c r="DB18" s="122">
        <f>ROUND(IFERROR(($CI18/(1+$CM18)-$EN18),0),2)</f>
        <v/>
      </c>
      <c r="DC18" s="124" t="n"/>
      <c r="DD18" s="121" t="n"/>
      <c r="DE18" s="75" t="n">
        <v>0</v>
      </c>
      <c r="DF18" s="124" t="n"/>
      <c r="DG18" s="121">
        <f>IF($DC18=0,0,$DD18*($DC18*100%-$DE18*$DF18))*SUM($AB18:$AB18)</f>
        <v/>
      </c>
      <c r="DH18" s="125" t="inlineStr">
        <is>
          <t>месяц</t>
        </is>
      </c>
      <c r="DI18" s="126">
        <f t="array" ref="DI18">IFERROR(
IF($ES18="LisChannel",
(ROUND(((INDEX({174.625;153.888888888889;130.972222222222},MATCH($AI18,{2;3;4}),0))*$AG18*$AI18),2)),0),0)</f>
        <v/>
      </c>
      <c r="DJ18" s="126">
        <f>
_xlfn.LET(_xlpm.X,
IFERROR(
IF($ES18="НовиковТВ",
(_xlfn.LET(_xlpm.NTV,
_xlfn.LET(_xlpm.MIN,350000,
IF(SUMIFS($DI:$DI,$ES:$ES,"НовиковТВ")&lt;=_xlpm.MIN,
(SUMIFS($DI:$DI,$ES:$ES,"НовиковТВ")/(COUNTIFS($ES:$ES,"НовиковТВ")))*_xlpm.MIN/SUMIFS($DI:$DI,$ES:$ES,"НовиковТВ"),
DI18)),
_xlpm.NTV+$DG18/(1-(1-(_xlpm.NTV)*(1-$DL18)*(1-$DM18)*(1-$DN18)*(1-$DO18)*(1-$DP18)/_xlpm.NTV))))/(1+$EP18),
$DI18+$DG18/(1-(1-($DI18)*(1-$DL18)*(1-$DM18)*(1-$DN18)*(1-$DO18)*(1-$DP18)/$DI18))),
0),
_xlpm.X*(1+$CM18)*(1+$CW18)-_xlpm.X*(1+$CM18)+_xlpm.X)</f>
        <v/>
      </c>
      <c r="DK18" s="121" t="inlineStr">
        <is>
          <t>послед.</t>
        </is>
      </c>
      <c r="DL18" s="63" t="n">
        <v>0</v>
      </c>
      <c r="DM18" s="63" t="n">
        <v>0</v>
      </c>
      <c r="DN18" s="63" t="n">
        <v>0</v>
      </c>
      <c r="DO18" s="63" t="n">
        <v>0</v>
      </c>
      <c r="DP18" s="63" t="n">
        <v>0</v>
      </c>
      <c r="DQ18" s="63">
        <f t="array" ref="DQ18">IFERROR(_xlfn.IFS(
$DK18="послед.",1-(1-$DL18)*(1-$DM18)*(1-$DN18)*(1-$DO18)*(1-$DP18),
$DK18="сумм.",$DL18+$DM18+$DN18+$DO18+$DP18),
0)</f>
        <v/>
      </c>
      <c r="DR18" s="121">
        <f t="array" ref="DR18">
IFERROR(
_xlfn.IFS(
$BL18=0,
0,
$BL18&gt;0,
_xlfn.IFS($DK18="послед.",
$DJ18*(1-$DL18)*(1-$DM18)*(1-$DN18)*(1-$DO18)*(1-$DP18),
$DK18="сумм.",
$DJ18*(1-($DL18+$DM18+$DN18+$DO18+$DP18)))),0)</f>
        <v/>
      </c>
      <c r="DS18" s="121">
        <f t="array" ref="DS18">
IFERROR(_xlfn.IFS(
$DH18="день_1",
$DR18*$BL18/($AX18-$AW18+1)*AZ18*(DAY(EOMONTH(AZ$15,0))),
$DH18="день_2",
$DR18/30*MAX(MIN($AX18,EOMONTH(AZ$15,0))-MAX($AW18,AZ$15)+1,),
$DH18="раб.день",
$DR18/30*(IFERROR(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$DR18*AZ18,
$DH18="неделя",
$DR18*AZ18/7*(ROUNDUP((DAY(EOMONTH(AZ$15,0)))/4,0))),
0)</f>
        <v/>
      </c>
      <c r="DT18" s="121">
        <f t="array" ref="DT18">
IFERROR(_xlfn.IFS(
$DH18="день_1",
$DR18*$BL18/($AX18-$AW18+1)*BA18*(DAY(EOMONTH(BA$15,0))),
$DH18="день_2",
$DR18/30*MAX(MIN($AX18,EOMONTH(BA$15,0))-MAX($AW18,BA$15)+1,),
$DH18="раб.день",
$DR18/30*(IFERROR(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$DR18*BA18,
$DH18="неделя",
$DR18*BA18/7*(ROUNDUP((DAY(EOMONTH(BA$15,0)))/4,0))),
0)</f>
        <v/>
      </c>
      <c r="DU18" s="121">
        <f t="array" ref="DU18">
IFERROR(_xlfn.IFS(
$DH18="день_1",
$DR18*$BL18/($AX18-$AW18+1)*BB18*(DAY(EOMONTH(BB$15,0))),
$DH18="день_2",
$DR18/30*MAX(MIN($AX18,EOMONTH(BB$15,0))-MAX($AW18,BB$15)+1,),
$DH18="раб.день",
$DR18/30*(IFERROR(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$DR18*BB18,
$DH18="неделя",
$DR18*BB18/7*(ROUNDUP((DAY(EOMONTH(BB$15,0)))/4,0))),
0)</f>
        <v/>
      </c>
      <c r="DV18" s="121">
        <f t="array" ref="DV18">
IFERROR(_xlfn.IFS(
$DH18="день_1",
$DR18*$BL18/($AX18-$AW18+1)*BC18*(DAY(EOMONTH(BC$15,0))),
$DH18="день_2",
$DR18/30*MAX(MIN($AX18,EOMONTH(BC$15,0))-MAX($AW18,BC$15)+1,),
$DH18="раб.день",
$DR18/30*(IFERROR(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$DR18*BC18,
$DH18="неделя",
$DR18*BC18/7*(ROUNDUP((DAY(EOMONTH(BC$15,0)))/4,0))),
0)</f>
        <v/>
      </c>
      <c r="DW18" s="121">
        <f t="array" ref="DW18">
IFERROR(_xlfn.IFS(
$DH18="день_1",
$DR18*$BL18/($AX18-$AW18+1)*BD18*(DAY(EOMONTH(BD$15,0))),
$DH18="день_2",
$DR18/30*MAX(MIN($AX18,EOMONTH(BD$15,0))-MAX($AW18,BD$15)+1,),
$DH18="раб.день",
$DR18/30*(IFERROR(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$DR18*BD18,
$DH18="неделя",
$DR18*BD18/7*(ROUNDUP((DAY(EOMONTH(BD$15,0)))/4,0))),
0)</f>
        <v/>
      </c>
      <c r="DX18" s="121">
        <f t="array" ref="DX18">
IFERROR(_xlfn.IFS(
$DH18="день_1",
$DR18*$BL18/($AX18-$AW18+1)*BE18*(DAY(EOMONTH(BE$15,0))),
$DH18="день_2",
$DR18/30*MAX(MIN($AX18,EOMONTH(BE$15,0))-MAX($AW18,BE$15)+1,),
$DH18="раб.день",
$DR18/30*(IFERROR(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$DR18*BE18,
$DH18="неделя",
$DR18*BE18/7*(ROUNDUP((DAY(EOMONTH(BE$15,0)))/4,0))),
0)</f>
        <v/>
      </c>
      <c r="DY18" s="121">
        <f t="array" ref="DY18">
IFERROR(_xlfn.IFS(
$DH18="день_1",
$DR18*$BL18/($AX18-$AW18+1)*BF18*(DAY(EOMONTH(BF$15,0))),
$DH18="день_2",
$DR18/30*MAX(MIN($AX18,EOMONTH(BF$15,0))-MAX($AW18,BF$15)+1,),
$DH18="раб.день",
$DR18/30*(IFERROR(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$DR18*BF18,
$DH18="неделя",
$DR18*BF18/7*(ROUNDUP((DAY(EOMONTH(BF$15,0)))/4,0))),
0)</f>
        <v/>
      </c>
      <c r="DZ18" s="121">
        <f t="array" ref="DZ18">
IFERROR(_xlfn.IFS(
$DH18="день_1",
$DR18*$BL18/($AX18-$AW18+1)*BG18*(DAY(EOMONTH(BG$15,0))),
$DH18="день_2",
$DR18/30*MAX(MIN($AX18,EOMONTH(BG$15,0))-MAX($AW18,BG$15)+1,),
$DH18="раб.день",
$DR18/30*(IFERROR(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$DR18*BG18,
$DH18="неделя",
$DR18*BG18/7*(ROUNDUP((DAY(EOMONTH(BG$15,0)))/4,0))),
0)</f>
        <v/>
      </c>
      <c r="EA18" s="121">
        <f t="array" ref="EA18">
IFERROR(_xlfn.IFS(
$DH18="день_1",
$DR18*$BL18/($AX18-$AW18+1)*BH18*(DAY(EOMONTH(BH$15,0))),
$DH18="день_2",
$DR18/30*MAX(MIN($AX18,EOMONTH(BH$15,0))-MAX($AW18,BH$15)+1,),
$DH18="раб.день",
$DR18/30*(IFERROR(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$DR18*BH18,
$DH18="неделя",
$DR18*BH18/7*(ROUNDUP((DAY(EOMONTH(BH$15,0)))/4,0))),
0)</f>
        <v/>
      </c>
      <c r="EB18" s="121">
        <f t="array" ref="EB18">
IFERROR(_xlfn.IFS(
$DH18="день_1",
$DR18*$BL18/($AX18-$AW18+1)*BI18*(DAY(EOMONTH(BI$15,0))),
$DH18="день_2",
$DR18/30*MAX(MIN($AX18,EOMONTH(BI$15,0))-MAX($AW18,BI$15)+1,),
$DH18="раб.день",
$DR18/30*(IFERROR(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$DR18*BI18,
$DH18="неделя",
$DR18*BI18/7*(ROUNDUP((DAY(EOMONTH(BI$15,0)))/4,0))),
0)</f>
        <v/>
      </c>
      <c r="EC18" s="121">
        <f t="array" ref="EC18">
IFERROR(_xlfn.IFS(
$DH18="день_1",
$DR18*$BL18/($AX18-$AW18+1)*BJ18*(DAY(EOMONTH(BJ$15,0))),
$DH18="день_2",
$DR18/30*MAX(MIN($AX18,EOMONTH(BJ$15,0))-MAX($AW18,BJ$15)+1,),
$DH18="раб.день",
$DR18/30*(IFERROR(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$DR18*BJ18,
$DH18="неделя",
$DR18*BJ18/7*(ROUNDUP((DAY(EOMONTH(BJ$15,0)))/4,0))),
0)</f>
        <v/>
      </c>
      <c r="ED18" s="121">
        <f t="array" ref="ED18">
IFERROR(_xlfn.IFS(
$DH18="день_1",
$DR18*$BL18/($AX18-$AW18+1)*BK18*(DAY(EOMONTH(BK$15,0))),
$DH18="день_2",
$DR18/30*MAX(MIN($AX18,EOMONTH(BK$15,0))-MAX($AW18,BK$15)+1,),
$DH18="раб.день",
$DR18/30*(IFERROR(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$DR18*BK18,
$DH18="неделя",
$DR18*BK18/7*(ROUNDUP((DAY(EOMONTH(BK$15,0)))/4,0))),
0)</f>
        <v/>
      </c>
      <c r="EE18" s="121">
        <f>SUM($DS18,$DT18,$DU18,$DV18,$DW18,$DX18,$DY18,$DZ18,$EA18,$EB18,$EC18,$ED18)</f>
        <v/>
      </c>
      <c r="EF18" s="121">
        <f>IFERROR(ROUND($EE18*(1+$EP18),2),0)</f>
        <v/>
      </c>
      <c r="EG18" s="124" t="n">
        <v>1</v>
      </c>
      <c r="EH18" s="122" t="n">
        <v>0</v>
      </c>
      <c r="EI18" s="122">
        <f>ROUND(SUM($EH18:$EH18)*SUM($AB18:$AB18)*$EG18,2)</f>
        <v/>
      </c>
      <c r="EJ18" s="122">
        <f>ROUND($EI18*(1+$EP18),2)</f>
        <v/>
      </c>
      <c r="EK18" s="122" t="n">
        <v>0</v>
      </c>
      <c r="EL18" s="122">
        <f>ROUND(SUM($EK18:$EK18)*SUM($AB18:$AB18)*$EG18,2)</f>
        <v/>
      </c>
      <c r="EM18" s="122">
        <f>ROUND($EL18*(1+$EP18),2)</f>
        <v/>
      </c>
      <c r="EN18" s="122">
        <f>SUM($EE18,$EI18,$EL18)</f>
        <v/>
      </c>
      <c r="EO18" s="122">
        <f>SUM($EF18,$EJ18,$EM18)</f>
        <v/>
      </c>
      <c r="EP18" s="59" t="n"/>
      <c r="EQ18" s="59" t="n"/>
      <c r="ER18" s="60">
        <f t="array" ref="ER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
{"AMS";"RussOutdoor";"HD Outdoor";"Ingroup";"IQ";"Ledproduction";"LisChannel";"Logic";"Media-PPL";"NovikovTV | НовиковТВ";"SMA";"SOK";"КрокусТВ | CrocusTV | IndoorTV";"Сити";"ТЯК Москва"},
0)),"")</f>
        <v/>
      </c>
      <c r="ES18" s="60" t="n"/>
      <c r="ET18" s="60">
        <f t="array" ref="ET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
{"AMS";"RussOutdoor";"HD Outdoor";"Ingroup";"IQ";"Ledproduction";"LisChannel";"Logic";"Media-PPL";"NovikovTV | НовиковТВ";"SMA";"SOK";"КрокусТВ | CrocusTV | IndoorTV";"Сити";"ТЯК Москва"},
0)),"")</f>
        <v/>
      </c>
      <c r="EU18" s="60" t="n"/>
      <c r="EV18" s="60" t="n"/>
      <c r="EW18" t="inlineStr">
        <is>
          <t> </t>
        </is>
      </c>
    </row>
    <row r="19">
      <c r="A19" s="59" t="n"/>
      <c r="B19" s="60" t="n"/>
      <c r="C19" s="60" t="n"/>
      <c r="D19" s="60">
        <f t="array" ref="D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 s="60">
        <f t="array" ref="E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 s="60" t="inlineStr"/>
      <c r="G19" s="60" t="n"/>
      <c r="H19" s="60">
        <f t="array" ref="H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 s="60" t="n"/>
      <c r="J19" s="60" t="n"/>
      <c r="K19" s="60" t="n"/>
      <c r="L19" s="60" t="n"/>
      <c r="M19" s="60" t="n"/>
      <c r="N19" s="60" t="n"/>
      <c r="O19" s="60" t="n"/>
      <c r="P19" s="60">
        <f t="array" ref="P19">
_xlfn.IFS(
ISNUMBER(MATCH($Q19,{"шелфбаннер","разделитель","монетница","чековая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ISNUMBER(MATCH($Q19,{"каталог","журнал"},)),
"Пресса",
$Q19="","")</f>
        <v/>
      </c>
      <c r="Q19" s="60" t="n"/>
      <c r="R19" s="60">
        <f t="array" ref="R19">
IFERROR(
_xlfn.IFS(
OR(ISNUMBER(MATCH($Q19,{"экспозиция","макет","стенд","автостенд","авто стенд","выставочное пространство","выставочные стенды","модульные выставочные стенды","3Д конструкция","3D конструкция"},)),P19="Экспонирование"),
"нестандартный",
ISNUMBER(MATCH($Q19,{"скроллер","призматрон"},)),
"динамический",
$P19="Видео",
"цифровой",
OR($P19="Пресса",$P19="Щит",$P19="POSm",$P19="Подвес",$P19="Брендирование/оклейка"),
"статический"),"")</f>
        <v/>
      </c>
      <c r="S19" s="59" t="n"/>
      <c r="T19" s="60" t="n"/>
      <c r="U19" s="60" t="n"/>
      <c r="V19" s="60">
        <f>
IF(P19="Видео",
"цифровой постер/ролик",
IF(ISNUMBER(MATCH(Q19,{"короб световой","короб световой | лайтбокс","короб световой | кристалайт","лайтбокс","лайт бокс","кристалайт","LB","lightbox"},)),
"бэклит",
IF(P19="Брендирование/оклейка",
"перфарированная пленка/самоклейка",
IF(P19="Экспонирование",
"под запрос",
IF(P19="Подвес",
"баннер/ткань",
"")))))</f>
        <v/>
      </c>
      <c r="W19" s="59" t="n"/>
      <c r="X19" s="59" t="n"/>
      <c r="Y19" s="59" t="n"/>
      <c r="Z19" s="61" t="n"/>
      <c r="AA19" s="61" t="n"/>
      <c r="AB19" s="61">
        <f>IF(BL19&gt;0,Z19,0)</f>
        <v/>
      </c>
      <c r="AC19" s="59" t="n"/>
      <c r="AD19" s="59" t="n"/>
      <c r="AE19" s="59" t="n"/>
      <c r="AF19" s="59" t="n"/>
      <c r="AG19" s="59" t="n"/>
      <c r="AH19" s="59" t="e">
        <v>#VALUE!</v>
      </c>
      <c r="AI19" s="59" t="n"/>
      <c r="AJ19" s="59" t="n"/>
      <c r="AK19" s="59" t="n"/>
      <c r="AL19" s="62">
        <f>IFERROR(IF(OR(R19="статический",R19="динамический",R19="нестандартный",R19="",R19=""),"-",IF(AND(AH19="-",AI19="-"),"-",AK19*3600/AH19*AI19)),"-")</f>
        <v/>
      </c>
      <c r="AM19" s="62">
        <f>IFERROR(IF(OR(R19="статический",R19="динамический",R19="",R19="", R19="BTL",R19="нестандартный"),"-",AG19*AI19*AL19/60),"-")</f>
        <v/>
      </c>
      <c r="AN19" s="63">
        <f>IFERROR(IF(AH19="","-",AG19*AI19/AH19),"-")</f>
        <v/>
      </c>
      <c r="AO19" s="59">
        <f>IFERROR(IF(OR($R19="статический",$R19="динамический",$R19="",$R19="",$R19="BTL",$R19="нестандартный"),"-",$AL19*$AY19),"-")</f>
        <v/>
      </c>
      <c r="AP19" s="62">
        <f>IFERROR(IF(OR($R19="статический",$R19="динамический",$R19="",$R19="",$R19="BTL",$R19="нестандартный"),"-",$AM19*AY19),"-")</f>
        <v/>
      </c>
      <c r="AQ19" s="64" t="n"/>
      <c r="AR19" s="61" t="n"/>
      <c r="AS19" s="61" t="n"/>
      <c r="AT19" s="61" t="n"/>
      <c r="AU19" s="65" t="n"/>
      <c r="AV19" s="120">
        <f>IFERROR(DR19/AT19*1000,"n/a")</f>
        <v/>
      </c>
      <c r="AW19" s="67" t="n"/>
      <c r="AX19" s="67" t="n"/>
      <c r="AY19" s="43">
        <f>IFERROR(IF(OR($AW19="",$AX19=""),"",_xlfn.DAYS($AX19+1,$AW19)),"")</f>
        <v/>
      </c>
      <c r="AZ19" s="68">
        <f t="array" ref="AZ19">
_xlfn.LET(_xlpm.COEFF,
IF($AW19+$AX19=0,0,IF(MAX(MIN($AX19,EOMONTH(AZ$15,0))-MAX($AW19,AZ$15)+1,)&gt;0,1,0)),
_xlfn.IFS(
$ES19="LisChannel",
_xlpm.COEFF*
INDEX({1;1;1.2;1.2;1;1;1;1;1.2;1.2;1.2;1.2},
MATCH(MONTH(AZ$15),
{1,2,3,4,5,6,7,8,9,10,11,12})),
CONCATENATE($ES19," ",$L19)="RussOutdoor метро",
_xlpm.COEFF*
INDEX({0.8;0.9;1.1;1.1;1;1;1;1;1.1;1.1;1.1;1.1},
MATCH(MONTH(AZ$15),
{1,2,3,4,5,6,7,8,9,10,11,12})),
$ES19&lt;&gt;"LisChannel",
_xlpm.COEFF,
$ES19&lt;&gt;"RussOutdoor",
_xlpm.COEFF))</f>
        <v/>
      </c>
      <c r="BA19" s="68">
        <f t="array" ref="BA19">
_xlfn.LET(_xlpm.COEFF,
IF($AW19+$AX19=0,0,IF(MAX(MIN($AX19,EOMONTH(BA$15,0))-MAX($AW19,BA$15)+1,)&gt;0,1,0)),
_xlfn.IFS(
$ES19="LisChannel",
_xlpm.COEFF*
INDEX({1;1;1.2;1.2;1;1;1;1;1.2;1.2;1.2;1.2},
MATCH(MONTH(BA$15),
{1,2,3,4,5,6,7,8,9,10,11,12})),
CONCATENATE($ES19," ",$L19)="RussOutdoor метро",
_xlpm.COEFF*
INDEX({0.8;0.9;1.1;1.1;1;1;1;1;1.1;1.1;1.1;1.1},
MATCH(MONTH(BA$15),
{1,2,3,4,5,6,7,8,9,10,11,12})),
$ES19&lt;&gt;"LisChannel",
_xlpm.COEFF,
$ES19&lt;&gt;"RussOutdoor",
_xlpm.COEFF))</f>
        <v/>
      </c>
      <c r="BB19" s="68">
        <f t="array" ref="BB19">
_xlfn.LET(_xlpm.COEFF,
IF($AW19+$AX19=0,0,IF(MAX(MIN($AX19,EOMONTH(BB$15,0))-MAX($AW19,BB$15)+1,)&gt;0,1,0)),
_xlfn.IFS(
$ES19="LisChannel",
_xlpm.COEFF*
INDEX({1;1;1.2;1.2;1;1;1;1;1.2;1.2;1.2;1.2},
MATCH(MONTH(BB$15),
{1,2,3,4,5,6,7,8,9,10,11,12})),
CONCATENATE($ES19," ",$L19)="RussOutdoor метро",
_xlpm.COEFF*
INDEX({0.8;0.9;1.1;1.1;1;1;1;1;1.1;1.1;1.1;1.1},
MATCH(MONTH(BB$15),
{1,2,3,4,5,6,7,8,9,10,11,12})),
$ES19&lt;&gt;"LisChannel",
_xlpm.COEFF,
$ES19&lt;&gt;"RussOutdoor",
_xlpm.COEFF))</f>
        <v/>
      </c>
      <c r="BC19" s="68">
        <f t="array" ref="BC19">
_xlfn.LET(_xlpm.COEFF,
IF($AW19+$AX19=0,0,IF(MAX(MIN($AX19,EOMONTH(BC$15,0))-MAX($AW19,BC$15)+1,)&gt;0,1,0)),
_xlfn.IFS(
$ES19="LisChannel",
_xlpm.COEFF*
INDEX({1;1;1.2;1.2;1;1;1;1;1.2;1.2;1.2;1.2},
MATCH(MONTH(BC$15),
{1,2,3,4,5,6,7,8,9,10,11,12})),
CONCATENATE($ES19," ",$L19)="RussOutdoor метро",
_xlpm.COEFF*
INDEX({0.8;0.9;1.1;1.1;1;1;1;1;1.1;1.1;1.1;1.1},
MATCH(MONTH(BC$15),
{1,2,3,4,5,6,7,8,9,10,11,12})),
$ES19&lt;&gt;"LisChannel",
_xlpm.COEFF,
$ES19&lt;&gt;"RussOutdoor",
_xlpm.COEFF))</f>
        <v/>
      </c>
      <c r="BD19" s="68">
        <f t="array" ref="BD19">
_xlfn.LET(_xlpm.COEFF,
IF($AW19+$AX19=0,0,IF(MAX(MIN($AX19,EOMONTH(BD$15,0))-MAX($AW19,BD$15)+1,)&gt;0,1,0)),
_xlfn.IFS(
$ES19="LisChannel",
_xlpm.COEFF*
INDEX({1;1;1.2;1.2;1;1;1;1;1.2;1.2;1.2;1.2},
MATCH(MONTH(BD$15),
{1,2,3,4,5,6,7,8,9,10,11,12})),
CONCATENATE($ES19," ",$L19)="RussOutdoor метро",
_xlpm.COEFF*
INDEX({0.8;0.9;1.1;1.1;1;1;1;1;1.1;1.1;1.1;1.1},
MATCH(MONTH(BD$15),
{1,2,3,4,5,6,7,8,9,10,11,12})),
$ES19&lt;&gt;"LisChannel",
_xlpm.COEFF,
$ES19&lt;&gt;"RussOutdoor",
_xlpm.COEFF))</f>
        <v/>
      </c>
      <c r="BE19" s="68">
        <f t="array" ref="BE19">
_xlfn.LET(_xlpm.COEFF,
IF($AW19+$AX19=0,0,IF(MAX(MIN($AX19,EOMONTH(BE$15,0))-MAX($AW19,BE$15)+1,)&gt;0,1,0)),
_xlfn.IFS(
$ES19="LisChannel",
_xlpm.COEFF*
INDEX({1;1;1.2;1.2;1;1;1;1;1.2;1.2;1.2;1.2},
MATCH(MONTH(BE$15),
{1,2,3,4,5,6,7,8,9,10,11,12})),
CONCATENATE($ES19," ",$L19)="RussOutdoor метро",
_xlpm.COEFF*
INDEX({0.8;0.9;1.1;1.1;1;1;1;1;1.1;1.1;1.1;1.1},
MATCH(MONTH(BE$15),
{1,2,3,4,5,6,7,8,9,10,11,12})),
$ES19&lt;&gt;"LisChannel",
_xlpm.COEFF,
$ES19&lt;&gt;"RussOutdoor",
_xlpm.COEFF))</f>
        <v/>
      </c>
      <c r="BF19" s="68">
        <f t="array" ref="BF19">
_xlfn.LET(_xlpm.COEFF,
IF($AW19+$AX19=0,0,IF(MAX(MIN($AX19,EOMONTH(BF$15,0))-MAX($AW19,BF$15)+1,)&gt;0,1,0)),
_xlfn.IFS(
$ES19="LisChannel",
_xlpm.COEFF*
INDEX({1;1;1.2;1.2;1;1;1;1;1.2;1.2;1.2;1.2},
MATCH(MONTH(BF$15),
{1,2,3,4,5,6,7,8,9,10,11,12})),
CONCATENATE($ES19," ",$L19)="RussOutdoor метро",
_xlpm.COEFF*
INDEX({0.8;0.9;1.1;1.1;1;1;1;1;1.1;1.1;1.1;1.1},
MATCH(MONTH(BF$15),
{1,2,3,4,5,6,7,8,9,10,11,12})),
$ES19&lt;&gt;"LisChannel",
_xlpm.COEFF,
$ES19&lt;&gt;"RussOutdoor",
_xlpm.COEFF))</f>
        <v/>
      </c>
      <c r="BG19" s="68">
        <f t="array" ref="BG19">
_xlfn.LET(_xlpm.COEFF,
IF($AW19+$AX19=0,0,IF(MAX(MIN($AX19,EOMONTH(BG$15,0))-MAX($AW19,BG$15)+1,)&gt;0,1,0)),
_xlfn.IFS(
$ES19="LisChannel",
_xlpm.COEFF*
INDEX({1;1;1.2;1.2;1;1;1;1;1.2;1.2;1.2;1.2},
MATCH(MONTH(BG$15),
{1,2,3,4,5,6,7,8,9,10,11,12})),
CONCATENATE($ES19," ",$L19)="RussOutdoor метро",
_xlpm.COEFF*
INDEX({0.8;0.9;1.1;1.1;1;1;1;1;1.1;1.1;1.1;1.1},
MATCH(MONTH(BG$15),
{1,2,3,4,5,6,7,8,9,10,11,12})),
$ES19&lt;&gt;"LisChannel",
_xlpm.COEFF,
$ES19&lt;&gt;"RussOutdoor",
_xlpm.COEFF))</f>
        <v/>
      </c>
      <c r="BH19" s="68">
        <f t="array" ref="BH19">
_xlfn.LET(_xlpm.COEFF,
IF($AW19+$AX19=0,0,IF(MAX(MIN($AX19,EOMONTH(BH$15,0))-MAX($AW19,BH$15)+1,)&gt;0,1,0)),
_xlfn.IFS(
$ES19="LisChannel",
_xlpm.COEFF*
INDEX({1;1;1.2;1.2;1;1;1;1;1.2;1.2;1.2;1.2},
MATCH(MONTH(BH$15),
{1,2,3,4,5,6,7,8,9,10,11,12})),
CONCATENATE($ES19," ",$L19)="RussOutdoor метро",
_xlpm.COEFF*
INDEX({0.8;0.9;1.1;1.1;1;1;1;1;1.1;1.1;1.1;1.1},
MATCH(MONTH(BH$15),
{1,2,3,4,5,6,7,8,9,10,11,12})),
$ES19&lt;&gt;"LisChannel",
_xlpm.COEFF,
$ES19&lt;&gt;"RussOutdoor",
_xlpm.COEFF))</f>
        <v/>
      </c>
      <c r="BI19" s="68">
        <f t="array" ref="BI19">
_xlfn.LET(_xlpm.COEFF,
IF($AW19+$AX19=0,0,IF(MAX(MIN($AX19,EOMONTH(BI$15,0))-MAX($AW19,BI$15)+1,)&gt;0,1,0)),
_xlfn.IFS(
$ES19="LisChannel",
_xlpm.COEFF*
INDEX({1;1;1.2;1.2;1;1;1;1;1.2;1.2;1.2;1.2},
MATCH(MONTH(BI$15),
{1,2,3,4,5,6,7,8,9,10,11,12})),
CONCATENATE($ES19," ",$L19)="RussOutdoor метро",
_xlpm.COEFF*
INDEX({0.8;0.9;1.1;1.1;1;1;1;1;1.1;1.1;1.1;1.1},
MATCH(MONTH(BI$15),
{1,2,3,4,5,6,7,8,9,10,11,12})),
$ES19&lt;&gt;"LisChannel",
_xlpm.COEFF,
$ES19&lt;&gt;"RussOutdoor",
_xlpm.COEFF))</f>
        <v/>
      </c>
      <c r="BJ19" s="68">
        <f t="array" ref="BJ19">
_xlfn.LET(_xlpm.COEFF,
IF($AW19+$AX19=0,0,IF(MAX(MIN($AX19,EOMONTH(BJ$15,0))-MAX($AW19,BJ$15)+1,)&gt;0,1,0)),
_xlfn.IFS(
$ES19="LisChannel",
_xlpm.COEFF*
INDEX({1;1;1.2;1.2;1;1;1;1;1.2;1.2;1.2;1.2},
MATCH(MONTH(BJ$15),
{1,2,3,4,5,6,7,8,9,10,11,12})),
CONCATENATE($ES19," ",$L19)="RussOutdoor метро",
_xlpm.COEFF*
INDEX({0.8;0.9;1.1;1.1;1;1;1;1;1.1;1.1;1.1;1.1},
MATCH(MONTH(BJ$15),
{1,2,3,4,5,6,7,8,9,10,11,12})),
$ES19&lt;&gt;"LisChannel",
_xlpm.COEFF,
$ES19&lt;&gt;"RussOutdoor",
_xlpm.COEFF))</f>
        <v/>
      </c>
      <c r="BK19" s="68">
        <f t="array" ref="BK19">
_xlfn.LET(_xlpm.COEFF,
IF($AW19+$AX19=0,0,IF(MAX(MIN($AX19,EOMONTH(BK$15,0))-MAX($AW19,BK$15)+1,)&gt;0,1,0)),
_xlfn.IFS(
$ES19="LisChannel",
_xlpm.COEFF*
INDEX({1;1;1.2;1.2;1;1;1;1;1.2;1.2;1.2;1.2},
MATCH(MONTH(BK$15),
{1,2,3,4,5,6,7,8,9,10,11,12})),
CONCATENATE($ES19," ",$L19)="RussOutdoor метро",
_xlpm.COEFF*
INDEX({0.8;0.9;1.1;1.1;1;1;1;1;1.1;1.1;1.1;1.1},
MATCH(MONTH(BK$15),
{1,2,3,4,5,6,7,8,9,10,11,12})),
$ES19&lt;&gt;"LisChannel",
_xlpm.COEFF,
$ES19&lt;&gt;"RussOutdoor",
_xlpm.COEFF))</f>
        <v/>
      </c>
      <c r="BL19" s="62">
        <f>COUNTIFS($AZ19:$BK19,"&gt;0")</f>
        <v/>
      </c>
      <c r="BM19" s="65" t="n"/>
      <c r="BN19" s="121">
        <f>$DJ19</f>
        <v/>
      </c>
      <c r="BO19" s="63">
        <f>$DQ19</f>
        <v/>
      </c>
      <c r="BP19" s="121">
        <f>
IFERROR(
IF($BL19=0,0,
$BN19*(1-$BO19)),
0)</f>
        <v/>
      </c>
      <c r="BQ19" s="121">
        <f t="array" ref="BQ19">
IFERROR(
_xlfn.IFS(
$DH19="день_1",
$BP19*$BL19/($AX19-$AW19+1)*AZ19*(DAY(EOMONTH(AZ$15,0))),
$DH19="день_2",
$BP19/30*MAX(MIN($AX19,EOMONTH(AZ$15,0))-MAX($AW19,AZ$15)+1,),
$DH19="раб.день",
$BP19/30*(IFERROR(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$BP19*AZ19,
$DH19="неделя",
$BP19*AZ19/7*(ROUNDUP((DAY(EOMONTH(AZ$15,0)))/4,0))),
0)</f>
        <v/>
      </c>
      <c r="BR19" s="121">
        <f t="array" ref="BR19">
IFERROR(
_xlfn.IFS(
$DH19="день_1",
$BP19*$BL19/($AX19-$AW19+1)*BA19*(DAY(EOMONTH(BA$15,0))),
$DH19="день_2",
$BP19/30*MAX(MIN($AX19,EOMONTH(BA$15,0))-MAX($AW19,BA$15)+1,),
$DH19="раб.день",
$BP19/30*(IFERROR(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$BP19*BA19,
$DH19="неделя",
$BP19*BA19/7*(ROUNDUP((DAY(EOMONTH(BA$15,0)))/4,0))),
0)</f>
        <v/>
      </c>
      <c r="BS19" s="121">
        <f t="array" ref="BS19">
IFERROR(
_xlfn.IFS(
$DH19="день_1",
$BP19*$BL19/($AX19-$AW19+1)*BB19*(DAY(EOMONTH(BB$15,0))),
$DH19="день_2",
$BP19/30*MAX(MIN($AX19,EOMONTH(BB$15,0))-MAX($AW19,BB$15)+1,),
$DH19="раб.день",
$BP19/30*(IFERROR(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$BP19*BB19,
$DH19="неделя",
$BP19*BB19/7*(ROUNDUP((DAY(EOMONTH(BB$15,0)))/4,0))),
0)</f>
        <v/>
      </c>
      <c r="BT19" s="121">
        <f t="array" ref="BT19">
IFERROR(
_xlfn.IFS(
$DH19="день_1",
$BP19*$BL19/($AX19-$AW19+1)*BC19*(DAY(EOMONTH(BC$15,0))),
$DH19="день_2",
$BP19/30*MAX(MIN($AX19,EOMONTH(BC$15,0))-MAX($AW19,BC$15)+1,),
$DH19="раб.день",
$BP19/30*(IFERROR(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$BP19*BC19,
$DH19="неделя",
$BP19*BC19/7*(ROUNDUP((DAY(EOMONTH(BC$15,0)))/4,0))),
0)</f>
        <v/>
      </c>
      <c r="BU19" s="121">
        <f t="array" ref="BU19">
IFERROR(
_xlfn.IFS(
$DH19="день_1",
$BP19*$BL19/($AX19-$AW19+1)*BD19*(DAY(EOMONTH(BD$15,0))),
$DH19="день_2",
$BP19/30*MAX(MIN($AX19,EOMONTH(BD$15,0))-MAX($AW19,BD$15)+1,),
$DH19="раб.день",
$BP19/30*(IFERROR(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$BP19*BD19,
$DH19="неделя",
$BP19*BD19/7*(ROUNDUP((DAY(EOMONTH(BD$15,0)))/4,0))),
0)</f>
        <v/>
      </c>
      <c r="BV19" s="121">
        <f t="array" ref="BV19">
IFERROR(
_xlfn.IFS(
$DH19="день_1",
$BP19*$BL19/($AX19-$AW19+1)*BE19*(DAY(EOMONTH(BE$15,0))),
$DH19="день_2",
$BP19/30*MAX(MIN($AX19,EOMONTH(BE$15,0))-MAX($AW19,BE$15)+1,),
$DH19="раб.день",
$BP19/30*(IFERROR(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$BP19*BE19,
$DH19="неделя",
$BP19*BE19/7*(ROUNDUP((DAY(EOMONTH(BE$15,0)))/4,0))),
0)</f>
        <v/>
      </c>
      <c r="BW19" s="121">
        <f t="array" ref="BW19">
IFERROR(
_xlfn.IFS(
$DH19="день_1",
$BP19*$BL19/($AX19-$AW19+1)*BF19*(DAY(EOMONTH(BF$15,0))),
$DH19="день_2",
$BP19/30*MAX(MIN($AX19,EOMONTH(BF$15,0))-MAX($AW19,BF$15)+1,),
$DH19="раб.день",
$BP19/30*(IFERROR(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$BP19*BF19,
$DH19="неделя",
$BP19*BF19/7*(ROUNDUP((DAY(EOMONTH(BF$15,0)))/4,0))),
0)</f>
        <v/>
      </c>
      <c r="BX19" s="121">
        <f t="array" ref="BX19">
IFERROR(
_xlfn.IFS(
$DH19="день_1",
$BP19*$BL19/($AX19-$AW19+1)*BG19*(DAY(EOMONTH(BG$15,0))),
$DH19="день_2",
$BP19/30*MAX(MIN($AX19,EOMONTH(BG$15,0))-MAX($AW19,BG$15)+1,),
$DH19="раб.день",
$BP19/30*(IFERROR(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$BP19*BG19,
$DH19="неделя",
$BP19*BG19/7*(ROUNDUP((DAY(EOMONTH(BG$15,0)))/4,0))),
0)</f>
        <v/>
      </c>
      <c r="BY19" s="121">
        <f t="array" ref="BY19">
IFERROR(
_xlfn.IFS(
$DH19="день_1",
$BP19*$BL19/($AX19-$AW19+1)*BH19*(DAY(EOMONTH(BH$15,0))),
$DH19="день_2",
$BP19/30*MAX(MIN($AX19,EOMONTH(BH$15,0))-MAX($AW19,BH$15)+1,),
$DH19="раб.день",
$BP19/30*(IFERROR(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$BP19*BH19,
$DH19="неделя",
$BP19*BH19/7*(ROUNDUP((DAY(EOMONTH(BH$15,0)))/4,0))),
0)</f>
        <v/>
      </c>
      <c r="BZ19" s="121">
        <f t="array" ref="BZ19">
IFERROR(
_xlfn.IFS(
$DH19="день_1",
$BP19*$BL19/($AX19-$AW19+1)*BI19*(DAY(EOMONTH(BI$15,0))),
$DH19="день_2",
$BP19/30*MAX(MIN($AX19,EOMONTH(BI$15,0))-MAX($AW19,BI$15)+1,),
$DH19="раб.день",
$BP19/30*(IFERROR(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$BP19*BI19,
$DH19="неделя",
$BP19*BI19/7*(ROUNDUP((DAY(EOMONTH(BI$15,0)))/4,0))),
0)</f>
        <v/>
      </c>
      <c r="CA19" s="121">
        <f t="array" ref="CA19">
IFERROR(
_xlfn.IFS(
$DH19="день_1",
$BP19*$BL19/($AX19-$AW19+1)*BJ19*(DAY(EOMONTH(BJ$15,0))),
$DH19="день_2",
$BP19/30*MAX(MIN($AX19,EOMONTH(BJ$15,0))-MAX($AW19,BJ$15)+1,),
$DH19="раб.день",
$BP19/30*(IFERROR(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$BP19*BJ19,
$DH19="неделя",
$BP19*BJ19/7*(ROUNDUP((DAY(EOMONTH(BJ$15,0)))/4,0))),
0)</f>
        <v/>
      </c>
      <c r="CB19" s="121">
        <f t="array" ref="CB19">
IFERROR(
_xlfn.IFS(
$DH19="день_1",
$BP19*$BL19/($AX19-$AW19+1)*BK19*(DAY(EOMONTH(BK$15,0))),
$DH19="день_2",
$BP19/30*MAX(MIN($AX19,EOMONTH(BK$15,0))-MAX($AW19,BK$15)+1,),
$DH19="раб.день",
$BP19/30*(IFERROR(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$BP19*BK19,
$DH19="неделя",
$BP19*BK19/7*(ROUNDUP((DAY(EOMONTH(BK$15,0)))/4,0))),
0)</f>
        <v/>
      </c>
      <c r="CC19" s="121">
        <f>SUM($BQ19:$CB19)</f>
        <v/>
      </c>
      <c r="CD19" s="122">
        <f>SUM($EH19:$EH19)</f>
        <v/>
      </c>
      <c r="CE19" s="122">
        <f>$CD19*$AB19</f>
        <v/>
      </c>
      <c r="CF19" s="122">
        <f>SUM($EK19:$EK19)</f>
        <v/>
      </c>
      <c r="CG19" s="122">
        <f>$CF19*$AB19</f>
        <v/>
      </c>
      <c r="CH19" s="122">
        <f>SUM($CC19,$CE19,$CG19)</f>
        <v/>
      </c>
      <c r="CI19" s="122">
        <f>$CH19*(1+$CM19)</f>
        <v/>
      </c>
      <c r="CJ19" s="123" t="n">
        <v>0</v>
      </c>
      <c r="CK19" s="122">
        <f>SUM($CH19:$CH19)*(1+$CJ19)</f>
        <v/>
      </c>
      <c r="CL19" s="122">
        <f>SUM($CH19:$CH19)*(1+$CM19)</f>
        <v/>
      </c>
      <c r="CM19" s="59" t="n"/>
      <c r="CN19" s="59" t="n"/>
      <c r="CO19" s="72" t="n"/>
      <c r="CP19" s="59" t="n"/>
      <c r="CQ19" s="73" t="n"/>
      <c r="CR19" s="73" t="n"/>
      <c r="CS19" s="73" t="n"/>
      <c r="CT19" s="72" t="n"/>
      <c r="CU19" s="79" t="inlineStr">
        <is>
          <t> </t>
        </is>
      </c>
      <c r="CV19" s="60" t="n"/>
      <c r="CW19" s="60" t="n"/>
      <c r="CX19" s="60" t="n"/>
      <c r="CY19" s="123">
        <f>IFERROR(($CC19-$EE19)/($EE19/(1-$DQ19)),0)</f>
        <v/>
      </c>
      <c r="CZ19" s="123">
        <f>IFERROR(1-$EI19/($CE19),0)</f>
        <v/>
      </c>
      <c r="DA19" s="123">
        <f>IFERROR(1-$EL19/($CG19),0)</f>
        <v/>
      </c>
      <c r="DB19" s="122">
        <f>ROUND(IFERROR(($CI19/(1+$CM19)-$EN19),0),2)</f>
        <v/>
      </c>
      <c r="DC19" s="124" t="n"/>
      <c r="DD19" s="121" t="n"/>
      <c r="DE19" s="75" t="n">
        <v>0</v>
      </c>
      <c r="DF19" s="124" t="n"/>
      <c r="DG19" s="121">
        <f>IF($DC19=0,0,$DD19*($DC19*100%-$DE19*$DF19))*SUM($AB19:$AB19)</f>
        <v/>
      </c>
      <c r="DH19" s="125" t="inlineStr">
        <is>
          <t>месяц</t>
        </is>
      </c>
      <c r="DI19" s="126">
        <f t="array" ref="DI19">IFERROR(
IF($ES19="LisChannel",
(ROUND(((INDEX({174.625;153.888888888889;130.972222222222},MATCH($AI19,{2;3;4}),0))*$AG19*$AI19),2)),0),0)</f>
        <v/>
      </c>
      <c r="DJ19" s="126">
        <f>
_xlfn.LET(_xlpm.X,
IFERROR(
IF($ES19="НовиковТВ",
(_xlfn.LET(_xlpm.NTV,
_xlfn.LET(_xlpm.MIN,350000,
IF(SUMIFS($DI:$DI,$ES:$ES,"НовиковТВ")&lt;=_xlpm.MIN,
(SUMIFS($DI:$DI,$ES:$ES,"НовиковТВ")/(COUNTIFS($ES:$ES,"НовиковТВ")))*_xlpm.MIN/SUMIFS($DI:$DI,$ES:$ES,"НовиковТВ"),
DI19)),
_xlpm.NTV+$DG19/(1-(1-(_xlpm.NTV)*(1-$DL19)*(1-$DM19)*(1-$DN19)*(1-$DO19)*(1-$DP19)/_xlpm.NTV))))/(1+$EP19),
$DI19+$DG19/(1-(1-($DI19)*(1-$DL19)*(1-$DM19)*(1-$DN19)*(1-$DO19)*(1-$DP19)/$DI19))),
0),
_xlpm.X*(1+$CM19)*(1+$CW19)-_xlpm.X*(1+$CM19)+_xlpm.X)</f>
        <v/>
      </c>
      <c r="DK19" s="121" t="inlineStr">
        <is>
          <t>послед.</t>
        </is>
      </c>
      <c r="DL19" s="63" t="n">
        <v>0</v>
      </c>
      <c r="DM19" s="63" t="n">
        <v>0</v>
      </c>
      <c r="DN19" s="63" t="n">
        <v>0</v>
      </c>
      <c r="DO19" s="63" t="n">
        <v>0</v>
      </c>
      <c r="DP19" s="63" t="n">
        <v>0</v>
      </c>
      <c r="DQ19" s="63">
        <f t="array" ref="DQ19">IFERROR(_xlfn.IFS(
$DK19="послед.",1-(1-$DL19)*(1-$DM19)*(1-$DN19)*(1-$DO19)*(1-$DP19),
$DK19="сумм.",$DL19+$DM19+$DN19+$DO19+$DP19),
0)</f>
        <v/>
      </c>
      <c r="DR19" s="121">
        <f t="array" ref="DR19">
IFERROR(
_xlfn.IFS(
$BL19=0,
0,
$BL19&gt;0,
_xlfn.IFS($DK19="послед.",
$DJ19*(1-$DL19)*(1-$DM19)*(1-$DN19)*(1-$DO19)*(1-$DP19),
$DK19="сумм.",
$DJ19*(1-($DL19+$DM19+$DN19+$DO19+$DP19)))),0)</f>
        <v/>
      </c>
      <c r="DS19" s="121">
        <f t="array" ref="DS19">
IFERROR(_xlfn.IFS(
$DH19="день_1",
$DR19*$BL19/($AX19-$AW19+1)*AZ19*(DAY(EOMONTH(AZ$15,0))),
$DH19="день_2",
$DR19/30*MAX(MIN($AX19,EOMONTH(AZ$15,0))-MAX($AW19,AZ$15)+1,),
$DH19="раб.день",
$DR19/30*(IFERROR(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$DR19*AZ19,
$DH19="неделя",
$DR19*AZ19/7*(ROUNDUP((DAY(EOMONTH(AZ$15,0)))/4,0))),
0)</f>
        <v/>
      </c>
      <c r="DT19" s="121">
        <f t="array" ref="DT19">
IFERROR(_xlfn.IFS(
$DH19="день_1",
$DR19*$BL19/($AX19-$AW19+1)*BA19*(DAY(EOMONTH(BA$15,0))),
$DH19="день_2",
$DR19/30*MAX(MIN($AX19,EOMONTH(BA$15,0))-MAX($AW19,BA$15)+1,),
$DH19="раб.день",
$DR19/30*(IFERROR(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$DR19*BA19,
$DH19="неделя",
$DR19*BA19/7*(ROUNDUP((DAY(EOMONTH(BA$15,0)))/4,0))),
0)</f>
        <v/>
      </c>
      <c r="DU19" s="121">
        <f t="array" ref="DU19">
IFERROR(_xlfn.IFS(
$DH19="день_1",
$DR19*$BL19/($AX19-$AW19+1)*BB19*(DAY(EOMONTH(BB$15,0))),
$DH19="день_2",
$DR19/30*MAX(MIN($AX19,EOMONTH(BB$15,0))-MAX($AW19,BB$15)+1,),
$DH19="раб.день",
$DR19/30*(IFERROR(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$DR19*BB19,
$DH19="неделя",
$DR19*BB19/7*(ROUNDUP((DAY(EOMONTH(BB$15,0)))/4,0))),
0)</f>
        <v/>
      </c>
      <c r="DV19" s="121">
        <f t="array" ref="DV19">
IFERROR(_xlfn.IFS(
$DH19="день_1",
$DR19*$BL19/($AX19-$AW19+1)*BC19*(DAY(EOMONTH(BC$15,0))),
$DH19="день_2",
$DR19/30*MAX(MIN($AX19,EOMONTH(BC$15,0))-MAX($AW19,BC$15)+1,),
$DH19="раб.день",
$DR19/30*(IFERROR(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$DR19*BC19,
$DH19="неделя",
$DR19*BC19/7*(ROUNDUP((DAY(EOMONTH(BC$15,0)))/4,0))),
0)</f>
        <v/>
      </c>
      <c r="DW19" s="121">
        <f t="array" ref="DW19">
IFERROR(_xlfn.IFS(
$DH19="день_1",
$DR19*$BL19/($AX19-$AW19+1)*BD19*(DAY(EOMONTH(BD$15,0))),
$DH19="день_2",
$DR19/30*MAX(MIN($AX19,EOMONTH(BD$15,0))-MAX($AW19,BD$15)+1,),
$DH19="раб.день",
$DR19/30*(IFERROR(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$DR19*BD19,
$DH19="неделя",
$DR19*BD19/7*(ROUNDUP((DAY(EOMONTH(BD$15,0)))/4,0))),
0)</f>
        <v/>
      </c>
      <c r="DX19" s="121">
        <f t="array" ref="DX19">
IFERROR(_xlfn.IFS(
$DH19="день_1",
$DR19*$BL19/($AX19-$AW19+1)*BE19*(DAY(EOMONTH(BE$15,0))),
$DH19="день_2",
$DR19/30*MAX(MIN($AX19,EOMONTH(BE$15,0))-MAX($AW19,BE$15)+1,),
$DH19="раб.день",
$DR19/30*(IFERROR(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$DR19*BE19,
$DH19="неделя",
$DR19*BE19/7*(ROUNDUP((DAY(EOMONTH(BE$15,0)))/4,0))),
0)</f>
        <v/>
      </c>
      <c r="DY19" s="121">
        <f t="array" ref="DY19">
IFERROR(_xlfn.IFS(
$DH19="день_1",
$DR19*$BL19/($AX19-$AW19+1)*BF19*(DAY(EOMONTH(BF$15,0))),
$DH19="день_2",
$DR19/30*MAX(MIN($AX19,EOMONTH(BF$15,0))-MAX($AW19,BF$15)+1,),
$DH19="раб.день",
$DR19/30*(IFERROR(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$DR19*BF19,
$DH19="неделя",
$DR19*BF19/7*(ROUNDUP((DAY(EOMONTH(BF$15,0)))/4,0))),
0)</f>
        <v/>
      </c>
      <c r="DZ19" s="121">
        <f t="array" ref="DZ19">
IFERROR(_xlfn.IFS(
$DH19="день_1",
$DR19*$BL19/($AX19-$AW19+1)*BG19*(DAY(EOMONTH(BG$15,0))),
$DH19="день_2",
$DR19/30*MAX(MIN($AX19,EOMONTH(BG$15,0))-MAX($AW19,BG$15)+1,),
$DH19="раб.день",
$DR19/30*(IFERROR(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$DR19*BG19,
$DH19="неделя",
$DR19*BG19/7*(ROUNDUP((DAY(EOMONTH(BG$15,0)))/4,0))),
0)</f>
        <v/>
      </c>
      <c r="EA19" s="121">
        <f t="array" ref="EA19">
IFERROR(_xlfn.IFS(
$DH19="день_1",
$DR19*$BL19/($AX19-$AW19+1)*BH19*(DAY(EOMONTH(BH$15,0))),
$DH19="день_2",
$DR19/30*MAX(MIN($AX19,EOMONTH(BH$15,0))-MAX($AW19,BH$15)+1,),
$DH19="раб.день",
$DR19/30*(IFERROR(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$DR19*BH19,
$DH19="неделя",
$DR19*BH19/7*(ROUNDUP((DAY(EOMONTH(BH$15,0)))/4,0))),
0)</f>
        <v/>
      </c>
      <c r="EB19" s="121">
        <f t="array" ref="EB19">
IFERROR(_xlfn.IFS(
$DH19="день_1",
$DR19*$BL19/($AX19-$AW19+1)*BI19*(DAY(EOMONTH(BI$15,0))),
$DH19="день_2",
$DR19/30*MAX(MIN($AX19,EOMONTH(BI$15,0))-MAX($AW19,BI$15)+1,),
$DH19="раб.день",
$DR19/30*(IFERROR(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$DR19*BI19,
$DH19="неделя",
$DR19*BI19/7*(ROUNDUP((DAY(EOMONTH(BI$15,0)))/4,0))),
0)</f>
        <v/>
      </c>
      <c r="EC19" s="121">
        <f t="array" ref="EC19">
IFERROR(_xlfn.IFS(
$DH19="день_1",
$DR19*$BL19/($AX19-$AW19+1)*BJ19*(DAY(EOMONTH(BJ$15,0))),
$DH19="день_2",
$DR19/30*MAX(MIN($AX19,EOMONTH(BJ$15,0))-MAX($AW19,BJ$15)+1,),
$DH19="раб.день",
$DR19/30*(IFERROR(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$DR19*BJ19,
$DH19="неделя",
$DR19*BJ19/7*(ROUNDUP((DAY(EOMONTH(BJ$15,0)))/4,0))),
0)</f>
        <v/>
      </c>
      <c r="ED19" s="121">
        <f t="array" ref="ED19">
IFERROR(_xlfn.IFS(
$DH19="день_1",
$DR19*$BL19/($AX19-$AW19+1)*BK19*(DAY(EOMONTH(BK$15,0))),
$DH19="день_2",
$DR19/30*MAX(MIN($AX19,EOMONTH(BK$15,0))-MAX($AW19,BK$15)+1,),
$DH19="раб.день",
$DR19/30*(IFERROR(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$DR19*BK19,
$DH19="неделя",
$DR19*BK19/7*(ROUNDUP((DAY(EOMONTH(BK$15,0)))/4,0))),
0)</f>
        <v/>
      </c>
      <c r="EE19" s="121">
        <f>SUM($DS19,$DT19,$DU19,$DV19,$DW19,$DX19,$DY19,$DZ19,$EA19,$EB19,$EC19,$ED19)</f>
        <v/>
      </c>
      <c r="EF19" s="121">
        <f>IFERROR(ROUND($EE19*(1+$EP19),2),0)</f>
        <v/>
      </c>
      <c r="EG19" s="124" t="n">
        <v>1</v>
      </c>
      <c r="EH19" s="122" t="n">
        <v>0</v>
      </c>
      <c r="EI19" s="122">
        <f>ROUND(SUM($EH19:$EH19)*SUM($AB19:$AB19)*$EG19,2)</f>
        <v/>
      </c>
      <c r="EJ19" s="122">
        <f>ROUND($EI19*(1+$EP19),2)</f>
        <v/>
      </c>
      <c r="EK19" s="122" t="n">
        <v>0</v>
      </c>
      <c r="EL19" s="122">
        <f>ROUND(SUM($EK19:$EK19)*SUM($AB19:$AB19)*$EG19,2)</f>
        <v/>
      </c>
      <c r="EM19" s="122">
        <f>ROUND($EL19*(1+$EP19),2)</f>
        <v/>
      </c>
      <c r="EN19" s="122">
        <f>SUM($EE19,$EI19,$EL19)</f>
        <v/>
      </c>
      <c r="EO19" s="122">
        <f>SUM($EF19,$EJ19,$EM19)</f>
        <v/>
      </c>
      <c r="EP19" s="59" t="n"/>
      <c r="EQ19" s="59" t="n"/>
      <c r="ER19" s="60">
        <f t="array" ref="ER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
{"AMS";"RussOutdoor";"HD Outdoor";"Ingroup";"IQ";"Ledproduction";"LisChannel";"Logic";"Media-PPL";"NovikovTV | НовиковТВ";"SMA";"SOK";"КрокусТВ | CrocusTV | IndoorTV";"Сити";"ТЯК Москва"},
0)),"")</f>
        <v/>
      </c>
      <c r="ES19" s="60" t="n"/>
      <c r="ET19" s="60">
        <f t="array" ref="ET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
{"AMS";"RussOutdoor";"HD Outdoor";"Ingroup";"IQ";"Ledproduction";"LisChannel";"Logic";"Media-PPL";"NovikovTV | НовиковТВ";"SMA";"SOK";"КрокусТВ | CrocusTV | IndoorTV";"Сити";"ТЯК Москва"},
0)),"")</f>
        <v/>
      </c>
      <c r="EU19" s="60" t="n"/>
      <c r="EV19" s="60" t="n"/>
      <c r="EW19" t="inlineStr">
        <is>
          <t> </t>
        </is>
      </c>
    </row>
    <row r="20">
      <c r="A20" s="59" t="n"/>
      <c r="B20" s="60" t="n"/>
      <c r="C20" s="60" t="n"/>
      <c r="D20" s="60">
        <f t="array" ref="D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 s="60">
        <f t="array" ref="E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 s="60" t="inlineStr"/>
      <c r="G20" s="60" t="n"/>
      <c r="H20" s="60">
        <f t="array" ref="H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 s="60" t="n"/>
      <c r="J20" s="60" t="n"/>
      <c r="K20" s="60" t="n"/>
      <c r="L20" s="60" t="n"/>
      <c r="M20" s="60" t="n"/>
      <c r="N20" s="60" t="n"/>
      <c r="O20" s="60" t="n"/>
      <c r="P20" s="60">
        <f t="array" ref="P20">
_xlfn.IFS(
ISNUMBER(MATCH($Q20,{"шелфбаннер","разделитель","монетница","чековая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ISNUMBER(MATCH($Q20,{"каталог","журнал"},)),
"Пресса",
$Q20="","")</f>
        <v/>
      </c>
      <c r="Q20" s="60" t="n"/>
      <c r="R20" s="60">
        <f t="array" ref="R20">
IFERROR(
_xlfn.IFS(
OR(ISNUMBER(MATCH($Q20,{"экспозиция","макет","стенд","автостенд","авто стенд","выставочное пространство","выставочные стенды","модульные выставочные стенды","3Д конструкция","3D конструкция"},)),P20="Экспонирование"),
"нестандартный",
ISNUMBER(MATCH($Q20,{"скроллер","призматрон"},)),
"динамический",
$P20="Видео",
"цифровой",
OR($P20="Пресса",$P20="Щит",$P20="POSm",$P20="Подвес",$P20="Брендирование/оклейка"),
"статический"),"")</f>
        <v/>
      </c>
      <c r="S20" s="59" t="n"/>
      <c r="T20" s="60" t="n"/>
      <c r="U20" s="60" t="n"/>
      <c r="V20" s="60">
        <f>
IF(P20="Видео",
"цифровой постер/ролик",
IF(ISNUMBER(MATCH(Q20,{"короб световой","короб световой | лайтбокс","короб световой | кристалайт","лайтбокс","лайт бокс","кристалайт","LB","lightbox"},)),
"бэклит",
IF(P20="Брендирование/оклейка",
"перфарированная пленка/самоклейка",
IF(P20="Экспонирование",
"под запрос",
IF(P20="Подвес",
"баннер/ткань",
"")))))</f>
        <v/>
      </c>
      <c r="W20" s="59" t="n"/>
      <c r="X20" s="59" t="n"/>
      <c r="Y20" s="59" t="n"/>
      <c r="Z20" s="61" t="n"/>
      <c r="AA20" s="61" t="n"/>
      <c r="AB20" s="61">
        <f>IF(BL20&gt;0,Z20,0)</f>
        <v/>
      </c>
      <c r="AC20" s="59" t="n"/>
      <c r="AD20" s="59" t="n"/>
      <c r="AE20" s="59" t="n"/>
      <c r="AF20" s="59" t="n"/>
      <c r="AG20" s="59" t="n"/>
      <c r="AH20" s="59" t="e">
        <v>#VALUE!</v>
      </c>
      <c r="AI20" s="59" t="n"/>
      <c r="AJ20" s="59" t="n"/>
      <c r="AK20" s="59" t="n"/>
      <c r="AL20" s="62">
        <f>IFERROR(IF(OR(R20="статический",R20="динамический",R20="нестандартный",R20="",R20=""),"-",IF(AND(AH20="-",AI20="-"),"-",AK20*3600/AH20*AI20)),"-")</f>
        <v/>
      </c>
      <c r="AM20" s="62">
        <f>IFERROR(IF(OR(R20="статический",R20="динамический",R20="",R20="", R20="BTL",R20="нестандартный"),"-",AG20*AI20*AL20/60),"-")</f>
        <v/>
      </c>
      <c r="AN20" s="63">
        <f>IFERROR(IF(AH20="","-",AG20*AI20/AH20),"-")</f>
        <v/>
      </c>
      <c r="AO20" s="59">
        <f>IFERROR(IF(OR($R20="статический",$R20="динамический",$R20="",$R20="",$R20="BTL",$R20="нестандартный"),"-",$AL20*$AY20),"-")</f>
        <v/>
      </c>
      <c r="AP20" s="62">
        <f>IFERROR(IF(OR($R20="статический",$R20="динамический",$R20="",$R20="",$R20="BTL",$R20="нестандартный"),"-",$AM20*AY20),"-")</f>
        <v/>
      </c>
      <c r="AQ20" s="64" t="n"/>
      <c r="AR20" s="61" t="n"/>
      <c r="AS20" s="61" t="n"/>
      <c r="AT20" s="61" t="n"/>
      <c r="AU20" s="65" t="n"/>
      <c r="AV20" s="120">
        <f>IFERROR(DR20/AT20*1000,"n/a")</f>
        <v/>
      </c>
      <c r="AW20" s="67" t="n"/>
      <c r="AX20" s="67" t="n"/>
      <c r="AY20" s="43">
        <f>IFERROR(IF(OR($AW20="",$AX20=""),"",_xlfn.DAYS($AX20+1,$AW20)),"")</f>
        <v/>
      </c>
      <c r="AZ20" s="68">
        <f t="array" ref="AZ20">
_xlfn.LET(_xlpm.COEFF,
IF($AW20+$AX20=0,0,IF(MAX(MIN($AX20,EOMONTH(AZ$15,0))-MAX($AW20,AZ$15)+1,)&gt;0,1,0)),
_xlfn.IFS(
$ES20="LisChannel",
_xlpm.COEFF*
INDEX({1;1;1.2;1.2;1;1;1;1;1.2;1.2;1.2;1.2},
MATCH(MONTH(AZ$15),
{1,2,3,4,5,6,7,8,9,10,11,12})),
CONCATENATE($ES20," ",$L20)="RussOutdoor метро",
_xlpm.COEFF*
INDEX({0.8;0.9;1.1;1.1;1;1;1;1;1.1;1.1;1.1;1.1},
MATCH(MONTH(AZ$15),
{1,2,3,4,5,6,7,8,9,10,11,12})),
$ES20&lt;&gt;"LisChannel",
_xlpm.COEFF,
$ES20&lt;&gt;"RussOutdoor",
_xlpm.COEFF))</f>
        <v/>
      </c>
      <c r="BA20" s="68">
        <f t="array" ref="BA20">
_xlfn.LET(_xlpm.COEFF,
IF($AW20+$AX20=0,0,IF(MAX(MIN($AX20,EOMONTH(BA$15,0))-MAX($AW20,BA$15)+1,)&gt;0,1,0)),
_xlfn.IFS(
$ES20="LisChannel",
_xlpm.COEFF*
INDEX({1;1;1.2;1.2;1;1;1;1;1.2;1.2;1.2;1.2},
MATCH(MONTH(BA$15),
{1,2,3,4,5,6,7,8,9,10,11,12})),
CONCATENATE($ES20," ",$L20)="RussOutdoor метро",
_xlpm.COEFF*
INDEX({0.8;0.9;1.1;1.1;1;1;1;1;1.1;1.1;1.1;1.1},
MATCH(MONTH(BA$15),
{1,2,3,4,5,6,7,8,9,10,11,12})),
$ES20&lt;&gt;"LisChannel",
_xlpm.COEFF,
$ES20&lt;&gt;"RussOutdoor",
_xlpm.COEFF))</f>
        <v/>
      </c>
      <c r="BB20" s="68">
        <f t="array" ref="BB20">
_xlfn.LET(_xlpm.COEFF,
IF($AW20+$AX20=0,0,IF(MAX(MIN($AX20,EOMONTH(BB$15,0))-MAX($AW20,BB$15)+1,)&gt;0,1,0)),
_xlfn.IFS(
$ES20="LisChannel",
_xlpm.COEFF*
INDEX({1;1;1.2;1.2;1;1;1;1;1.2;1.2;1.2;1.2},
MATCH(MONTH(BB$15),
{1,2,3,4,5,6,7,8,9,10,11,12})),
CONCATENATE($ES20," ",$L20)="RussOutdoor метро",
_xlpm.COEFF*
INDEX({0.8;0.9;1.1;1.1;1;1;1;1;1.1;1.1;1.1;1.1},
MATCH(MONTH(BB$15),
{1,2,3,4,5,6,7,8,9,10,11,12})),
$ES20&lt;&gt;"LisChannel",
_xlpm.COEFF,
$ES20&lt;&gt;"RussOutdoor",
_xlpm.COEFF))</f>
        <v/>
      </c>
      <c r="BC20" s="68">
        <f t="array" ref="BC20">
_xlfn.LET(_xlpm.COEFF,
IF($AW20+$AX20=0,0,IF(MAX(MIN($AX20,EOMONTH(BC$15,0))-MAX($AW20,BC$15)+1,)&gt;0,1,0)),
_xlfn.IFS(
$ES20="LisChannel",
_xlpm.COEFF*
INDEX({1;1;1.2;1.2;1;1;1;1;1.2;1.2;1.2;1.2},
MATCH(MONTH(BC$15),
{1,2,3,4,5,6,7,8,9,10,11,12})),
CONCATENATE($ES20," ",$L20)="RussOutdoor метро",
_xlpm.COEFF*
INDEX({0.8;0.9;1.1;1.1;1;1;1;1;1.1;1.1;1.1;1.1},
MATCH(MONTH(BC$15),
{1,2,3,4,5,6,7,8,9,10,11,12})),
$ES20&lt;&gt;"LisChannel",
_xlpm.COEFF,
$ES20&lt;&gt;"RussOutdoor",
_xlpm.COEFF))</f>
        <v/>
      </c>
      <c r="BD20" s="68">
        <f t="array" ref="BD20">
_xlfn.LET(_xlpm.COEFF,
IF($AW20+$AX20=0,0,IF(MAX(MIN($AX20,EOMONTH(BD$15,0))-MAX($AW20,BD$15)+1,)&gt;0,1,0)),
_xlfn.IFS(
$ES20="LisChannel",
_xlpm.COEFF*
INDEX({1;1;1.2;1.2;1;1;1;1;1.2;1.2;1.2;1.2},
MATCH(MONTH(BD$15),
{1,2,3,4,5,6,7,8,9,10,11,12})),
CONCATENATE($ES20," ",$L20)="RussOutdoor метро",
_xlpm.COEFF*
INDEX({0.8;0.9;1.1;1.1;1;1;1;1;1.1;1.1;1.1;1.1},
MATCH(MONTH(BD$15),
{1,2,3,4,5,6,7,8,9,10,11,12})),
$ES20&lt;&gt;"LisChannel",
_xlpm.COEFF,
$ES20&lt;&gt;"RussOutdoor",
_xlpm.COEFF))</f>
        <v/>
      </c>
      <c r="BE20" s="68">
        <f t="array" ref="BE20">
_xlfn.LET(_xlpm.COEFF,
IF($AW20+$AX20=0,0,IF(MAX(MIN($AX20,EOMONTH(BE$15,0))-MAX($AW20,BE$15)+1,)&gt;0,1,0)),
_xlfn.IFS(
$ES20="LisChannel",
_xlpm.COEFF*
INDEX({1;1;1.2;1.2;1;1;1;1;1.2;1.2;1.2;1.2},
MATCH(MONTH(BE$15),
{1,2,3,4,5,6,7,8,9,10,11,12})),
CONCATENATE($ES20," ",$L20)="RussOutdoor метро",
_xlpm.COEFF*
INDEX({0.8;0.9;1.1;1.1;1;1;1;1;1.1;1.1;1.1;1.1},
MATCH(MONTH(BE$15),
{1,2,3,4,5,6,7,8,9,10,11,12})),
$ES20&lt;&gt;"LisChannel",
_xlpm.COEFF,
$ES20&lt;&gt;"RussOutdoor",
_xlpm.COEFF))</f>
        <v/>
      </c>
      <c r="BF20" s="68">
        <f t="array" ref="BF20">
_xlfn.LET(_xlpm.COEFF,
IF($AW20+$AX20=0,0,IF(MAX(MIN($AX20,EOMONTH(BF$15,0))-MAX($AW20,BF$15)+1,)&gt;0,1,0)),
_xlfn.IFS(
$ES20="LisChannel",
_xlpm.COEFF*
INDEX({1;1;1.2;1.2;1;1;1;1;1.2;1.2;1.2;1.2},
MATCH(MONTH(BF$15),
{1,2,3,4,5,6,7,8,9,10,11,12})),
CONCATENATE($ES20," ",$L20)="RussOutdoor метро",
_xlpm.COEFF*
INDEX({0.8;0.9;1.1;1.1;1;1;1;1;1.1;1.1;1.1;1.1},
MATCH(MONTH(BF$15),
{1,2,3,4,5,6,7,8,9,10,11,12})),
$ES20&lt;&gt;"LisChannel",
_xlpm.COEFF,
$ES20&lt;&gt;"RussOutdoor",
_xlpm.COEFF))</f>
        <v/>
      </c>
      <c r="BG20" s="68">
        <f t="array" ref="BG20">
_xlfn.LET(_xlpm.COEFF,
IF($AW20+$AX20=0,0,IF(MAX(MIN($AX20,EOMONTH(BG$15,0))-MAX($AW20,BG$15)+1,)&gt;0,1,0)),
_xlfn.IFS(
$ES20="LisChannel",
_xlpm.COEFF*
INDEX({1;1;1.2;1.2;1;1;1;1;1.2;1.2;1.2;1.2},
MATCH(MONTH(BG$15),
{1,2,3,4,5,6,7,8,9,10,11,12})),
CONCATENATE($ES20," ",$L20)="RussOutdoor метро",
_xlpm.COEFF*
INDEX({0.8;0.9;1.1;1.1;1;1;1;1;1.1;1.1;1.1;1.1},
MATCH(MONTH(BG$15),
{1,2,3,4,5,6,7,8,9,10,11,12})),
$ES20&lt;&gt;"LisChannel",
_xlpm.COEFF,
$ES20&lt;&gt;"RussOutdoor",
_xlpm.COEFF))</f>
        <v/>
      </c>
      <c r="BH20" s="68">
        <f t="array" ref="BH20">
_xlfn.LET(_xlpm.COEFF,
IF($AW20+$AX20=0,0,IF(MAX(MIN($AX20,EOMONTH(BH$15,0))-MAX($AW20,BH$15)+1,)&gt;0,1,0)),
_xlfn.IFS(
$ES20="LisChannel",
_xlpm.COEFF*
INDEX({1;1;1.2;1.2;1;1;1;1;1.2;1.2;1.2;1.2},
MATCH(MONTH(BH$15),
{1,2,3,4,5,6,7,8,9,10,11,12})),
CONCATENATE($ES20," ",$L20)="RussOutdoor метро",
_xlpm.COEFF*
INDEX({0.8;0.9;1.1;1.1;1;1;1;1;1.1;1.1;1.1;1.1},
MATCH(MONTH(BH$15),
{1,2,3,4,5,6,7,8,9,10,11,12})),
$ES20&lt;&gt;"LisChannel",
_xlpm.COEFF,
$ES20&lt;&gt;"RussOutdoor",
_xlpm.COEFF))</f>
        <v/>
      </c>
      <c r="BI20" s="68">
        <f t="array" ref="BI20">
_xlfn.LET(_xlpm.COEFF,
IF($AW20+$AX20=0,0,IF(MAX(MIN($AX20,EOMONTH(BI$15,0))-MAX($AW20,BI$15)+1,)&gt;0,1,0)),
_xlfn.IFS(
$ES20="LisChannel",
_xlpm.COEFF*
INDEX({1;1;1.2;1.2;1;1;1;1;1.2;1.2;1.2;1.2},
MATCH(MONTH(BI$15),
{1,2,3,4,5,6,7,8,9,10,11,12})),
CONCATENATE($ES20," ",$L20)="RussOutdoor метро",
_xlpm.COEFF*
INDEX({0.8;0.9;1.1;1.1;1;1;1;1;1.1;1.1;1.1;1.1},
MATCH(MONTH(BI$15),
{1,2,3,4,5,6,7,8,9,10,11,12})),
$ES20&lt;&gt;"LisChannel",
_xlpm.COEFF,
$ES20&lt;&gt;"RussOutdoor",
_xlpm.COEFF))</f>
        <v/>
      </c>
      <c r="BJ20" s="68">
        <f t="array" ref="BJ20">
_xlfn.LET(_xlpm.COEFF,
IF($AW20+$AX20=0,0,IF(MAX(MIN($AX20,EOMONTH(BJ$15,0))-MAX($AW20,BJ$15)+1,)&gt;0,1,0)),
_xlfn.IFS(
$ES20="LisChannel",
_xlpm.COEFF*
INDEX({1;1;1.2;1.2;1;1;1;1;1.2;1.2;1.2;1.2},
MATCH(MONTH(BJ$15),
{1,2,3,4,5,6,7,8,9,10,11,12})),
CONCATENATE($ES20," ",$L20)="RussOutdoor метро",
_xlpm.COEFF*
INDEX({0.8;0.9;1.1;1.1;1;1;1;1;1.1;1.1;1.1;1.1},
MATCH(MONTH(BJ$15),
{1,2,3,4,5,6,7,8,9,10,11,12})),
$ES20&lt;&gt;"LisChannel",
_xlpm.COEFF,
$ES20&lt;&gt;"RussOutdoor",
_xlpm.COEFF))</f>
        <v/>
      </c>
      <c r="BK20" s="68">
        <f t="array" ref="BK20">
_xlfn.LET(_xlpm.COEFF,
IF($AW20+$AX20=0,0,IF(MAX(MIN($AX20,EOMONTH(BK$15,0))-MAX($AW20,BK$15)+1,)&gt;0,1,0)),
_xlfn.IFS(
$ES20="LisChannel",
_xlpm.COEFF*
INDEX({1;1;1.2;1.2;1;1;1;1;1.2;1.2;1.2;1.2},
MATCH(MONTH(BK$15),
{1,2,3,4,5,6,7,8,9,10,11,12})),
CONCATENATE($ES20," ",$L20)="RussOutdoor метро",
_xlpm.COEFF*
INDEX({0.8;0.9;1.1;1.1;1;1;1;1;1.1;1.1;1.1;1.1},
MATCH(MONTH(BK$15),
{1,2,3,4,5,6,7,8,9,10,11,12})),
$ES20&lt;&gt;"LisChannel",
_xlpm.COEFF,
$ES20&lt;&gt;"RussOutdoor",
_xlpm.COEFF))</f>
        <v/>
      </c>
      <c r="BL20" s="62">
        <f>COUNTIFS($AZ20:$BK20,"&gt;0")</f>
        <v/>
      </c>
      <c r="BM20" s="65" t="n"/>
      <c r="BN20" s="121">
        <f>$DJ20</f>
        <v/>
      </c>
      <c r="BO20" s="63">
        <f>$DQ20</f>
        <v/>
      </c>
      <c r="BP20" s="121">
        <f>
IFERROR(
IF($BL20=0,0,
$BN20*(1-$BO20)),
0)</f>
        <v/>
      </c>
      <c r="BQ20" s="121">
        <f t="array" ref="BQ20">
IFERROR(
_xlfn.IFS(
$DH20="день_1",
$BP20*$BL20/($AX20-$AW20+1)*AZ20*(DAY(EOMONTH(AZ$15,0))),
$DH20="день_2",
$BP20/30*MAX(MIN($AX20,EOMONTH(AZ$15,0))-MAX($AW20,AZ$15)+1,),
$DH20="раб.день",
$BP20/30*(IFERROR(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$BP20*AZ20,
$DH20="неделя",
$BP20*AZ20/7*(ROUNDUP((DAY(EOMONTH(AZ$15,0)))/4,0))),
0)</f>
        <v/>
      </c>
      <c r="BR20" s="121">
        <f t="array" ref="BR20">
IFERROR(
_xlfn.IFS(
$DH20="день_1",
$BP20*$BL20/($AX20-$AW20+1)*BA20*(DAY(EOMONTH(BA$15,0))),
$DH20="день_2",
$BP20/30*MAX(MIN($AX20,EOMONTH(BA$15,0))-MAX($AW20,BA$15)+1,),
$DH20="раб.день",
$BP20/30*(IFERROR(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$BP20*BA20,
$DH20="неделя",
$BP20*BA20/7*(ROUNDUP((DAY(EOMONTH(BA$15,0)))/4,0))),
0)</f>
        <v/>
      </c>
      <c r="BS20" s="121">
        <f t="array" ref="BS20">
IFERROR(
_xlfn.IFS(
$DH20="день_1",
$BP20*$BL20/($AX20-$AW20+1)*BB20*(DAY(EOMONTH(BB$15,0))),
$DH20="день_2",
$BP20/30*MAX(MIN($AX20,EOMONTH(BB$15,0))-MAX($AW20,BB$15)+1,),
$DH20="раб.день",
$BP20/30*(IFERROR(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$BP20*BB20,
$DH20="неделя",
$BP20*BB20/7*(ROUNDUP((DAY(EOMONTH(BB$15,0)))/4,0))),
0)</f>
        <v/>
      </c>
      <c r="BT20" s="121">
        <f t="array" ref="BT20">
IFERROR(
_xlfn.IFS(
$DH20="день_1",
$BP20*$BL20/($AX20-$AW20+1)*BC20*(DAY(EOMONTH(BC$15,0))),
$DH20="день_2",
$BP20/30*MAX(MIN($AX20,EOMONTH(BC$15,0))-MAX($AW20,BC$15)+1,),
$DH20="раб.день",
$BP20/30*(IFERROR(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$BP20*BC20,
$DH20="неделя",
$BP20*BC20/7*(ROUNDUP((DAY(EOMONTH(BC$15,0)))/4,0))),
0)</f>
        <v/>
      </c>
      <c r="BU20" s="121">
        <f t="array" ref="BU20">
IFERROR(
_xlfn.IFS(
$DH20="день_1",
$BP20*$BL20/($AX20-$AW20+1)*BD20*(DAY(EOMONTH(BD$15,0))),
$DH20="день_2",
$BP20/30*MAX(MIN($AX20,EOMONTH(BD$15,0))-MAX($AW20,BD$15)+1,),
$DH20="раб.день",
$BP20/30*(IFERROR(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$BP20*BD20,
$DH20="неделя",
$BP20*BD20/7*(ROUNDUP((DAY(EOMONTH(BD$15,0)))/4,0))),
0)</f>
        <v/>
      </c>
      <c r="BV20" s="121">
        <f t="array" ref="BV20">
IFERROR(
_xlfn.IFS(
$DH20="день_1",
$BP20*$BL20/($AX20-$AW20+1)*BE20*(DAY(EOMONTH(BE$15,0))),
$DH20="день_2",
$BP20/30*MAX(MIN($AX20,EOMONTH(BE$15,0))-MAX($AW20,BE$15)+1,),
$DH20="раб.день",
$BP20/30*(IFERROR(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$BP20*BE20,
$DH20="неделя",
$BP20*BE20/7*(ROUNDUP((DAY(EOMONTH(BE$15,0)))/4,0))),
0)</f>
        <v/>
      </c>
      <c r="BW20" s="121">
        <f t="array" ref="BW20">
IFERROR(
_xlfn.IFS(
$DH20="день_1",
$BP20*$BL20/($AX20-$AW20+1)*BF20*(DAY(EOMONTH(BF$15,0))),
$DH20="день_2",
$BP20/30*MAX(MIN($AX20,EOMONTH(BF$15,0))-MAX($AW20,BF$15)+1,),
$DH20="раб.день",
$BP20/30*(IFERROR(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$BP20*BF20,
$DH20="неделя",
$BP20*BF20/7*(ROUNDUP((DAY(EOMONTH(BF$15,0)))/4,0))),
0)</f>
        <v/>
      </c>
      <c r="BX20" s="121">
        <f t="array" ref="BX20">
IFERROR(
_xlfn.IFS(
$DH20="день_1",
$BP20*$BL20/($AX20-$AW20+1)*BG20*(DAY(EOMONTH(BG$15,0))),
$DH20="день_2",
$BP20/30*MAX(MIN($AX20,EOMONTH(BG$15,0))-MAX($AW20,BG$15)+1,),
$DH20="раб.день",
$BP20/30*(IFERROR(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$BP20*BG20,
$DH20="неделя",
$BP20*BG20/7*(ROUNDUP((DAY(EOMONTH(BG$15,0)))/4,0))),
0)</f>
        <v/>
      </c>
      <c r="BY20" s="121">
        <f t="array" ref="BY20">
IFERROR(
_xlfn.IFS(
$DH20="день_1",
$BP20*$BL20/($AX20-$AW20+1)*BH20*(DAY(EOMONTH(BH$15,0))),
$DH20="день_2",
$BP20/30*MAX(MIN($AX20,EOMONTH(BH$15,0))-MAX($AW20,BH$15)+1,),
$DH20="раб.день",
$BP20/30*(IFERROR(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$BP20*BH20,
$DH20="неделя",
$BP20*BH20/7*(ROUNDUP((DAY(EOMONTH(BH$15,0)))/4,0))),
0)</f>
        <v/>
      </c>
      <c r="BZ20" s="121">
        <f t="array" ref="BZ20">
IFERROR(
_xlfn.IFS(
$DH20="день_1",
$BP20*$BL20/($AX20-$AW20+1)*BI20*(DAY(EOMONTH(BI$15,0))),
$DH20="день_2",
$BP20/30*MAX(MIN($AX20,EOMONTH(BI$15,0))-MAX($AW20,BI$15)+1,),
$DH20="раб.день",
$BP20/30*(IFERROR(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$BP20*BI20,
$DH20="неделя",
$BP20*BI20/7*(ROUNDUP((DAY(EOMONTH(BI$15,0)))/4,0))),
0)</f>
        <v/>
      </c>
      <c r="CA20" s="121">
        <f t="array" ref="CA20">
IFERROR(
_xlfn.IFS(
$DH20="день_1",
$BP20*$BL20/($AX20-$AW20+1)*BJ20*(DAY(EOMONTH(BJ$15,0))),
$DH20="день_2",
$BP20/30*MAX(MIN($AX20,EOMONTH(BJ$15,0))-MAX($AW20,BJ$15)+1,),
$DH20="раб.день",
$BP20/30*(IFERROR(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$BP20*BJ20,
$DH20="неделя",
$BP20*BJ20/7*(ROUNDUP((DAY(EOMONTH(BJ$15,0)))/4,0))),
0)</f>
        <v/>
      </c>
      <c r="CB20" s="121">
        <f t="array" ref="CB20">
IFERROR(
_xlfn.IFS(
$DH20="день_1",
$BP20*$BL20/($AX20-$AW20+1)*BK20*(DAY(EOMONTH(BK$15,0))),
$DH20="день_2",
$BP20/30*MAX(MIN($AX20,EOMONTH(BK$15,0))-MAX($AW20,BK$15)+1,),
$DH20="раб.день",
$BP20/30*(IFERROR(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$BP20*BK20,
$DH20="неделя",
$BP20*BK20/7*(ROUNDUP((DAY(EOMONTH(BK$15,0)))/4,0))),
0)</f>
        <v/>
      </c>
      <c r="CC20" s="121">
        <f>SUM($BQ20:$CB20)</f>
        <v/>
      </c>
      <c r="CD20" s="122">
        <f>SUM($EH20:$EH20)</f>
        <v/>
      </c>
      <c r="CE20" s="122">
        <f>$CD20*$AB20</f>
        <v/>
      </c>
      <c r="CF20" s="122">
        <f>SUM($EK20:$EK20)</f>
        <v/>
      </c>
      <c r="CG20" s="122">
        <f>$CF20*$AB20</f>
        <v/>
      </c>
      <c r="CH20" s="122">
        <f>SUM($CC20,$CE20,$CG20)</f>
        <v/>
      </c>
      <c r="CI20" s="122">
        <f>$CH20*(1+$CM20)</f>
        <v/>
      </c>
      <c r="CJ20" s="123" t="n">
        <v>0</v>
      </c>
      <c r="CK20" s="122">
        <f>SUM($CH20:$CH20)*(1+$CJ20)</f>
        <v/>
      </c>
      <c r="CL20" s="122">
        <f>SUM($CH20:$CH20)*(1+$CM20)</f>
        <v/>
      </c>
      <c r="CM20" s="59" t="n"/>
      <c r="CN20" s="59" t="n"/>
      <c r="CO20" s="72" t="n"/>
      <c r="CP20" s="59" t="n"/>
      <c r="CQ20" s="73" t="n"/>
      <c r="CR20" s="73" t="n"/>
      <c r="CS20" s="73" t="n"/>
      <c r="CT20" s="72" t="n"/>
      <c r="CU20" s="79" t="inlineStr">
        <is>
          <t> </t>
        </is>
      </c>
      <c r="CV20" s="60" t="n"/>
      <c r="CW20" s="60" t="n"/>
      <c r="CX20" s="60" t="n"/>
      <c r="CY20" s="123">
        <f>IFERROR(($CC20-$EE20)/($EE20/(1-$DQ20)),0)</f>
        <v/>
      </c>
      <c r="CZ20" s="123">
        <f>IFERROR(1-$EI20/($CE20),0)</f>
        <v/>
      </c>
      <c r="DA20" s="123">
        <f>IFERROR(1-$EL20/($CG20),0)</f>
        <v/>
      </c>
      <c r="DB20" s="122">
        <f>ROUND(IFERROR(($CI20/(1+$CM20)-$EN20),0),2)</f>
        <v/>
      </c>
      <c r="DC20" s="124" t="n"/>
      <c r="DD20" s="121" t="n"/>
      <c r="DE20" s="75" t="n">
        <v>0</v>
      </c>
      <c r="DF20" s="124" t="n"/>
      <c r="DG20" s="121">
        <f>IF($DC20=0,0,$DD20*($DC20*100%-$DE20*$DF20))*SUM($AB20:$AB20)</f>
        <v/>
      </c>
      <c r="DH20" s="125" t="inlineStr">
        <is>
          <t>месяц</t>
        </is>
      </c>
      <c r="DI20" s="126">
        <f t="array" ref="DI20">IFERROR(
IF($ES20="LisChannel",
(ROUND(((INDEX({174.625;153.888888888889;130.972222222222},MATCH($AI20,{2;3;4}),0))*$AG20*$AI20),2)),0),0)</f>
        <v/>
      </c>
      <c r="DJ20" s="126">
        <f>
_xlfn.LET(_xlpm.X,
IFERROR(
IF($ES20="НовиковТВ",
(_xlfn.LET(_xlpm.NTV,
_xlfn.LET(_xlpm.MIN,350000,
IF(SUMIFS($DI:$DI,$ES:$ES,"НовиковТВ")&lt;=_xlpm.MIN,
(SUMIFS($DI:$DI,$ES:$ES,"НовиковТВ")/(COUNTIFS($ES:$ES,"НовиковТВ")))*_xlpm.MIN/SUMIFS($DI:$DI,$ES:$ES,"НовиковТВ"),
DI20)),
_xlpm.NTV+$DG20/(1-(1-(_xlpm.NTV)*(1-$DL20)*(1-$DM20)*(1-$DN20)*(1-$DO20)*(1-$DP20)/_xlpm.NTV))))/(1+$EP20),
$DI20+$DG20/(1-(1-($DI20)*(1-$DL20)*(1-$DM20)*(1-$DN20)*(1-$DO20)*(1-$DP20)/$DI20))),
0),
_xlpm.X*(1+$CM20)*(1+$CW20)-_xlpm.X*(1+$CM20)+_xlpm.X)</f>
        <v/>
      </c>
      <c r="DK20" s="121" t="inlineStr">
        <is>
          <t>послед.</t>
        </is>
      </c>
      <c r="DL20" s="63" t="n">
        <v>0</v>
      </c>
      <c r="DM20" s="63" t="n">
        <v>0</v>
      </c>
      <c r="DN20" s="63" t="n">
        <v>0</v>
      </c>
      <c r="DO20" s="63" t="n">
        <v>0</v>
      </c>
      <c r="DP20" s="63" t="n">
        <v>0</v>
      </c>
      <c r="DQ20" s="63">
        <f t="array" ref="DQ20">IFERROR(_xlfn.IFS(
$DK20="послед.",1-(1-$DL20)*(1-$DM20)*(1-$DN20)*(1-$DO20)*(1-$DP20),
$DK20="сумм.",$DL20+$DM20+$DN20+$DO20+$DP20),
0)</f>
        <v/>
      </c>
      <c r="DR20" s="121">
        <f t="array" ref="DR20">
IFERROR(
_xlfn.IFS(
$BL20=0,
0,
$BL20&gt;0,
_xlfn.IFS($DK20="послед.",
$DJ20*(1-$DL20)*(1-$DM20)*(1-$DN20)*(1-$DO20)*(1-$DP20),
$DK20="сумм.",
$DJ20*(1-($DL20+$DM20+$DN20+$DO20+$DP20)))),0)</f>
        <v/>
      </c>
      <c r="DS20" s="121">
        <f t="array" ref="DS20">
IFERROR(_xlfn.IFS(
$DH20="день_1",
$DR20*$BL20/($AX20-$AW20+1)*AZ20*(DAY(EOMONTH(AZ$15,0))),
$DH20="день_2",
$DR20/30*MAX(MIN($AX20,EOMONTH(AZ$15,0))-MAX($AW20,AZ$15)+1,),
$DH20="раб.день",
$DR20/30*(IFERROR(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$DR20*AZ20,
$DH20="неделя",
$DR20*AZ20/7*(ROUNDUP((DAY(EOMONTH(AZ$15,0)))/4,0))),
0)</f>
        <v/>
      </c>
      <c r="DT20" s="121">
        <f t="array" ref="DT20">
IFERROR(_xlfn.IFS(
$DH20="день_1",
$DR20*$BL20/($AX20-$AW20+1)*BA20*(DAY(EOMONTH(BA$15,0))),
$DH20="день_2",
$DR20/30*MAX(MIN($AX20,EOMONTH(BA$15,0))-MAX($AW20,BA$15)+1,),
$DH20="раб.день",
$DR20/30*(IFERROR(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$DR20*BA20,
$DH20="неделя",
$DR20*BA20/7*(ROUNDUP((DAY(EOMONTH(BA$15,0)))/4,0))),
0)</f>
        <v/>
      </c>
      <c r="DU20" s="121">
        <f t="array" ref="DU20">
IFERROR(_xlfn.IFS(
$DH20="день_1",
$DR20*$BL20/($AX20-$AW20+1)*BB20*(DAY(EOMONTH(BB$15,0))),
$DH20="день_2",
$DR20/30*MAX(MIN($AX20,EOMONTH(BB$15,0))-MAX($AW20,BB$15)+1,),
$DH20="раб.день",
$DR20/30*(IFERROR(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$DR20*BB20,
$DH20="неделя",
$DR20*BB20/7*(ROUNDUP((DAY(EOMONTH(BB$15,0)))/4,0))),
0)</f>
        <v/>
      </c>
      <c r="DV20" s="121">
        <f t="array" ref="DV20">
IFERROR(_xlfn.IFS(
$DH20="день_1",
$DR20*$BL20/($AX20-$AW20+1)*BC20*(DAY(EOMONTH(BC$15,0))),
$DH20="день_2",
$DR20/30*MAX(MIN($AX20,EOMONTH(BC$15,0))-MAX($AW20,BC$15)+1,),
$DH20="раб.день",
$DR20/30*(IFERROR(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$DR20*BC20,
$DH20="неделя",
$DR20*BC20/7*(ROUNDUP((DAY(EOMONTH(BC$15,0)))/4,0))),
0)</f>
        <v/>
      </c>
      <c r="DW20" s="121">
        <f t="array" ref="DW20">
IFERROR(_xlfn.IFS(
$DH20="день_1",
$DR20*$BL20/($AX20-$AW20+1)*BD20*(DAY(EOMONTH(BD$15,0))),
$DH20="день_2",
$DR20/30*MAX(MIN($AX20,EOMONTH(BD$15,0))-MAX($AW20,BD$15)+1,),
$DH20="раб.день",
$DR20/30*(IFERROR(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$DR20*BD20,
$DH20="неделя",
$DR20*BD20/7*(ROUNDUP((DAY(EOMONTH(BD$15,0)))/4,0))),
0)</f>
        <v/>
      </c>
      <c r="DX20" s="121">
        <f t="array" ref="DX20">
IFERROR(_xlfn.IFS(
$DH20="день_1",
$DR20*$BL20/($AX20-$AW20+1)*BE20*(DAY(EOMONTH(BE$15,0))),
$DH20="день_2",
$DR20/30*MAX(MIN($AX20,EOMONTH(BE$15,0))-MAX($AW20,BE$15)+1,),
$DH20="раб.день",
$DR20/30*(IFERROR(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$DR20*BE20,
$DH20="неделя",
$DR20*BE20/7*(ROUNDUP((DAY(EOMONTH(BE$15,0)))/4,0))),
0)</f>
        <v/>
      </c>
      <c r="DY20" s="121">
        <f t="array" ref="DY20">
IFERROR(_xlfn.IFS(
$DH20="день_1",
$DR20*$BL20/($AX20-$AW20+1)*BF20*(DAY(EOMONTH(BF$15,0))),
$DH20="день_2",
$DR20/30*MAX(MIN($AX20,EOMONTH(BF$15,0))-MAX($AW20,BF$15)+1,),
$DH20="раб.день",
$DR20/30*(IFERROR(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$DR20*BF20,
$DH20="неделя",
$DR20*BF20/7*(ROUNDUP((DAY(EOMONTH(BF$15,0)))/4,0))),
0)</f>
        <v/>
      </c>
      <c r="DZ20" s="121">
        <f t="array" ref="DZ20">
IFERROR(_xlfn.IFS(
$DH20="день_1",
$DR20*$BL20/($AX20-$AW20+1)*BG20*(DAY(EOMONTH(BG$15,0))),
$DH20="день_2",
$DR20/30*MAX(MIN($AX20,EOMONTH(BG$15,0))-MAX($AW20,BG$15)+1,),
$DH20="раб.день",
$DR20/30*(IFERROR(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$DR20*BG20,
$DH20="неделя",
$DR20*BG20/7*(ROUNDUP((DAY(EOMONTH(BG$15,0)))/4,0))),
0)</f>
        <v/>
      </c>
      <c r="EA20" s="121">
        <f t="array" ref="EA20">
IFERROR(_xlfn.IFS(
$DH20="день_1",
$DR20*$BL20/($AX20-$AW20+1)*BH20*(DAY(EOMONTH(BH$15,0))),
$DH20="день_2",
$DR20/30*MAX(MIN($AX20,EOMONTH(BH$15,0))-MAX($AW20,BH$15)+1,),
$DH20="раб.день",
$DR20/30*(IFERROR(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$DR20*BH20,
$DH20="неделя",
$DR20*BH20/7*(ROUNDUP((DAY(EOMONTH(BH$15,0)))/4,0))),
0)</f>
        <v/>
      </c>
      <c r="EB20" s="121">
        <f t="array" ref="EB20">
IFERROR(_xlfn.IFS(
$DH20="день_1",
$DR20*$BL20/($AX20-$AW20+1)*BI20*(DAY(EOMONTH(BI$15,0))),
$DH20="день_2",
$DR20/30*MAX(MIN($AX20,EOMONTH(BI$15,0))-MAX($AW20,BI$15)+1,),
$DH20="раб.день",
$DR20/30*(IFERROR(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$DR20*BI20,
$DH20="неделя",
$DR20*BI20/7*(ROUNDUP((DAY(EOMONTH(BI$15,0)))/4,0))),
0)</f>
        <v/>
      </c>
      <c r="EC20" s="121">
        <f t="array" ref="EC20">
IFERROR(_xlfn.IFS(
$DH20="день_1",
$DR20*$BL20/($AX20-$AW20+1)*BJ20*(DAY(EOMONTH(BJ$15,0))),
$DH20="день_2",
$DR20/30*MAX(MIN($AX20,EOMONTH(BJ$15,0))-MAX($AW20,BJ$15)+1,),
$DH20="раб.день",
$DR20/30*(IFERROR(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$DR20*BJ20,
$DH20="неделя",
$DR20*BJ20/7*(ROUNDUP((DAY(EOMONTH(BJ$15,0)))/4,0))),
0)</f>
        <v/>
      </c>
      <c r="ED20" s="121">
        <f t="array" ref="ED20">
IFERROR(_xlfn.IFS(
$DH20="день_1",
$DR20*$BL20/($AX20-$AW20+1)*BK20*(DAY(EOMONTH(BK$15,0))),
$DH20="день_2",
$DR20/30*MAX(MIN($AX20,EOMONTH(BK$15,0))-MAX($AW20,BK$15)+1,),
$DH20="раб.день",
$DR20/30*(IFERROR(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$DR20*BK20,
$DH20="неделя",
$DR20*BK20/7*(ROUNDUP((DAY(EOMONTH(BK$15,0)))/4,0))),
0)</f>
        <v/>
      </c>
      <c r="EE20" s="121">
        <f>SUM($DS20,$DT20,$DU20,$DV20,$DW20,$DX20,$DY20,$DZ20,$EA20,$EB20,$EC20,$ED20)</f>
        <v/>
      </c>
      <c r="EF20" s="121">
        <f>IFERROR(ROUND($EE20*(1+$EP20),2),0)</f>
        <v/>
      </c>
      <c r="EG20" s="124" t="n">
        <v>1</v>
      </c>
      <c r="EH20" s="122" t="n">
        <v>0</v>
      </c>
      <c r="EI20" s="122">
        <f>ROUND(SUM($EH20:$EH20)*SUM($AB20:$AB20)*$EG20,2)</f>
        <v/>
      </c>
      <c r="EJ20" s="122">
        <f>ROUND($EI20*(1+$EP20),2)</f>
        <v/>
      </c>
      <c r="EK20" s="122" t="n">
        <v>0</v>
      </c>
      <c r="EL20" s="122">
        <f>ROUND(SUM($EK20:$EK20)*SUM($AB20:$AB20)*$EG20,2)</f>
        <v/>
      </c>
      <c r="EM20" s="122">
        <f>ROUND($EL20*(1+$EP20),2)</f>
        <v/>
      </c>
      <c r="EN20" s="122">
        <f>SUM($EE20,$EI20,$EL20)</f>
        <v/>
      </c>
      <c r="EO20" s="122">
        <f>SUM($EF20,$EJ20,$EM20)</f>
        <v/>
      </c>
      <c r="EP20" s="59" t="n"/>
      <c r="EQ20" s="59" t="n"/>
      <c r="ER20" s="60">
        <f t="array" ref="ER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
{"AMS";"RussOutdoor";"HD Outdoor";"Ingroup";"IQ";"Ledproduction";"LisChannel";"Logic";"Media-PPL";"NovikovTV | НовиковТВ";"SMA";"SOK";"КрокусТВ | CrocusTV | IndoorTV";"Сити";"ТЯК Москва"},
0)),"")</f>
        <v/>
      </c>
      <c r="ES20" s="60" t="n"/>
      <c r="ET20" s="60">
        <f t="array" ref="ET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
{"AMS";"RussOutdoor";"HD Outdoor";"Ingroup";"IQ";"Ledproduction";"LisChannel";"Logic";"Media-PPL";"NovikovTV | НовиковТВ";"SMA";"SOK";"КрокусТВ | CrocusTV | IndoorTV";"Сити";"ТЯК Москва"},
0)),"")</f>
        <v/>
      </c>
      <c r="EU20" s="60" t="n"/>
      <c r="EV20" s="60" t="n"/>
      <c r="EW20" t="inlineStr">
        <is>
          <t> </t>
        </is>
      </c>
    </row>
    <row r="21">
      <c r="A21" s="59" t="n"/>
      <c r="B21" s="60" t="n"/>
      <c r="C21" s="60" t="n"/>
      <c r="D21" s="60">
        <f t="array" ref="D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 s="60">
        <f t="array" ref="E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 s="60" t="inlineStr"/>
      <c r="G21" s="60" t="n"/>
      <c r="H21" s="60">
        <f t="array" ref="H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 s="60" t="n"/>
      <c r="J21" s="60" t="n"/>
      <c r="K21" s="60" t="n"/>
      <c r="L21" s="60" t="n"/>
      <c r="M21" s="60" t="n"/>
      <c r="N21" s="60" t="n"/>
      <c r="O21" s="60" t="n"/>
      <c r="P21" s="60">
        <f t="array" ref="P21">
_xlfn.IFS(
ISNUMBER(MATCH($Q21,{"шелфбаннер","разделитель","монетница","чековая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ISNUMBER(MATCH($Q21,{"каталог","журнал"},)),
"Пресса",
$Q21="","")</f>
        <v/>
      </c>
      <c r="Q21" s="60" t="n"/>
      <c r="R21" s="60">
        <f t="array" ref="R21">
IFERROR(
_xlfn.IFS(
OR(ISNUMBER(MATCH($Q21,{"экспозиция","макет","стенд","автостенд","авто стенд","выставочное пространство","выставочные стенды","модульные выставочные стенды","3Д конструкция","3D конструкция"},)),P21="Экспонирование"),
"нестандартный",
ISNUMBER(MATCH($Q21,{"скроллер","призматрон"},)),
"динамический",
$P21="Видео",
"цифровой",
OR($P21="Пресса",$P21="Щит",$P21="POSm",$P21="Подвес",$P21="Брендирование/оклейка"),
"статический"),"")</f>
        <v/>
      </c>
      <c r="S21" s="59" t="n"/>
      <c r="T21" s="60" t="n"/>
      <c r="U21" s="60" t="n"/>
      <c r="V21" s="60">
        <f>
IF(P21="Видео",
"цифровой постер/ролик",
IF(ISNUMBER(MATCH(Q21,{"короб световой","короб световой | лайтбокс","короб световой | кристалайт","лайтбокс","лайт бокс","кристалайт","LB","lightbox"},)),
"бэклит",
IF(P21="Брендирование/оклейка",
"перфарированная пленка/самоклейка",
IF(P21="Экспонирование",
"под запрос",
IF(P21="Подвес",
"баннер/ткань",
"")))))</f>
        <v/>
      </c>
      <c r="W21" s="59" t="n"/>
      <c r="X21" s="59" t="n"/>
      <c r="Y21" s="59" t="n"/>
      <c r="Z21" s="61" t="n"/>
      <c r="AA21" s="61" t="n"/>
      <c r="AB21" s="61">
        <f>IF(BL21&gt;0,Z21,0)</f>
        <v/>
      </c>
      <c r="AC21" s="59" t="n"/>
      <c r="AD21" s="59" t="n"/>
      <c r="AE21" s="59" t="n"/>
      <c r="AF21" s="59" t="n"/>
      <c r="AG21" s="59" t="n"/>
      <c r="AH21" s="59" t="e">
        <v>#VALUE!</v>
      </c>
      <c r="AI21" s="59" t="n"/>
      <c r="AJ21" s="59" t="n"/>
      <c r="AK21" s="59" t="n"/>
      <c r="AL21" s="62">
        <f>IFERROR(IF(OR(R21="статический",R21="динамический",R21="нестандартный",R21="",R21=""),"-",IF(AND(AH21="-",AI21="-"),"-",AK21*3600/AH21*AI21)),"-")</f>
        <v/>
      </c>
      <c r="AM21" s="62">
        <f>IFERROR(IF(OR(R21="статический",R21="динамический",R21="",R21="", R21="BTL",R21="нестандартный"),"-",AG21*AI21*AL21/60),"-")</f>
        <v/>
      </c>
      <c r="AN21" s="63">
        <f>IFERROR(IF(AH21="","-",AG21*AI21/AH21),"-")</f>
        <v/>
      </c>
      <c r="AO21" s="59">
        <f>IFERROR(IF(OR($R21="статический",$R21="динамический",$R21="",$R21="",$R21="BTL",$R21="нестандартный"),"-",$AL21*$AY21),"-")</f>
        <v/>
      </c>
      <c r="AP21" s="62">
        <f>IFERROR(IF(OR($R21="статический",$R21="динамический",$R21="",$R21="",$R21="BTL",$R21="нестандартный"),"-",$AM21*AY21),"-")</f>
        <v/>
      </c>
      <c r="AQ21" s="64" t="n"/>
      <c r="AR21" s="61" t="n"/>
      <c r="AS21" s="61" t="n"/>
      <c r="AT21" s="61" t="n"/>
      <c r="AU21" s="65" t="n"/>
      <c r="AV21" s="120">
        <f>IFERROR(DR21/AT21*1000,"n/a")</f>
        <v/>
      </c>
      <c r="AW21" s="67" t="n"/>
      <c r="AX21" s="67" t="n"/>
      <c r="AY21" s="43">
        <f>IFERROR(IF(OR($AW21="",$AX21=""),"",_xlfn.DAYS($AX21+1,$AW21)),"")</f>
        <v/>
      </c>
      <c r="AZ21" s="68">
        <f t="array" ref="AZ21">
_xlfn.LET(_xlpm.COEFF,
IF($AW21+$AX21=0,0,IF(MAX(MIN($AX21,EOMONTH(AZ$15,0))-MAX($AW21,AZ$15)+1,)&gt;0,1,0)),
_xlfn.IFS(
$ES21="LisChannel",
_xlpm.COEFF*
INDEX({1;1;1.2;1.2;1;1;1;1;1.2;1.2;1.2;1.2},
MATCH(MONTH(AZ$15),
{1,2,3,4,5,6,7,8,9,10,11,12})),
CONCATENATE($ES21," ",$L21)="RussOutdoor метро",
_xlpm.COEFF*
INDEX({0.8;0.9;1.1;1.1;1;1;1;1;1.1;1.1;1.1;1.1},
MATCH(MONTH(AZ$15),
{1,2,3,4,5,6,7,8,9,10,11,12})),
$ES21&lt;&gt;"LisChannel",
_xlpm.COEFF,
$ES21&lt;&gt;"RussOutdoor",
_xlpm.COEFF))</f>
        <v/>
      </c>
      <c r="BA21" s="68">
        <f t="array" ref="BA21">
_xlfn.LET(_xlpm.COEFF,
IF($AW21+$AX21=0,0,IF(MAX(MIN($AX21,EOMONTH(BA$15,0))-MAX($AW21,BA$15)+1,)&gt;0,1,0)),
_xlfn.IFS(
$ES21="LisChannel",
_xlpm.COEFF*
INDEX({1;1;1.2;1.2;1;1;1;1;1.2;1.2;1.2;1.2},
MATCH(MONTH(BA$15),
{1,2,3,4,5,6,7,8,9,10,11,12})),
CONCATENATE($ES21," ",$L21)="RussOutdoor метро",
_xlpm.COEFF*
INDEX({0.8;0.9;1.1;1.1;1;1;1;1;1.1;1.1;1.1;1.1},
MATCH(MONTH(BA$15),
{1,2,3,4,5,6,7,8,9,10,11,12})),
$ES21&lt;&gt;"LisChannel",
_xlpm.COEFF,
$ES21&lt;&gt;"RussOutdoor",
_xlpm.COEFF))</f>
        <v/>
      </c>
      <c r="BB21" s="68">
        <f t="array" ref="BB21">
_xlfn.LET(_xlpm.COEFF,
IF($AW21+$AX21=0,0,IF(MAX(MIN($AX21,EOMONTH(BB$15,0))-MAX($AW21,BB$15)+1,)&gt;0,1,0)),
_xlfn.IFS(
$ES21="LisChannel",
_xlpm.COEFF*
INDEX({1;1;1.2;1.2;1;1;1;1;1.2;1.2;1.2;1.2},
MATCH(MONTH(BB$15),
{1,2,3,4,5,6,7,8,9,10,11,12})),
CONCATENATE($ES21," ",$L21)="RussOutdoor метро",
_xlpm.COEFF*
INDEX({0.8;0.9;1.1;1.1;1;1;1;1;1.1;1.1;1.1;1.1},
MATCH(MONTH(BB$15),
{1,2,3,4,5,6,7,8,9,10,11,12})),
$ES21&lt;&gt;"LisChannel",
_xlpm.COEFF,
$ES21&lt;&gt;"RussOutdoor",
_xlpm.COEFF))</f>
        <v/>
      </c>
      <c r="BC21" s="68">
        <f t="array" ref="BC21">
_xlfn.LET(_xlpm.COEFF,
IF($AW21+$AX21=0,0,IF(MAX(MIN($AX21,EOMONTH(BC$15,0))-MAX($AW21,BC$15)+1,)&gt;0,1,0)),
_xlfn.IFS(
$ES21="LisChannel",
_xlpm.COEFF*
INDEX({1;1;1.2;1.2;1;1;1;1;1.2;1.2;1.2;1.2},
MATCH(MONTH(BC$15),
{1,2,3,4,5,6,7,8,9,10,11,12})),
CONCATENATE($ES21," ",$L21)="RussOutdoor метро",
_xlpm.COEFF*
INDEX({0.8;0.9;1.1;1.1;1;1;1;1;1.1;1.1;1.1;1.1},
MATCH(MONTH(BC$15),
{1,2,3,4,5,6,7,8,9,10,11,12})),
$ES21&lt;&gt;"LisChannel",
_xlpm.COEFF,
$ES21&lt;&gt;"RussOutdoor",
_xlpm.COEFF))</f>
        <v/>
      </c>
      <c r="BD21" s="68">
        <f t="array" ref="BD21">
_xlfn.LET(_xlpm.COEFF,
IF($AW21+$AX21=0,0,IF(MAX(MIN($AX21,EOMONTH(BD$15,0))-MAX($AW21,BD$15)+1,)&gt;0,1,0)),
_xlfn.IFS(
$ES21="LisChannel",
_xlpm.COEFF*
INDEX({1;1;1.2;1.2;1;1;1;1;1.2;1.2;1.2;1.2},
MATCH(MONTH(BD$15),
{1,2,3,4,5,6,7,8,9,10,11,12})),
CONCATENATE($ES21," ",$L21)="RussOutdoor метро",
_xlpm.COEFF*
INDEX({0.8;0.9;1.1;1.1;1;1;1;1;1.1;1.1;1.1;1.1},
MATCH(MONTH(BD$15),
{1,2,3,4,5,6,7,8,9,10,11,12})),
$ES21&lt;&gt;"LisChannel",
_xlpm.COEFF,
$ES21&lt;&gt;"RussOutdoor",
_xlpm.COEFF))</f>
        <v/>
      </c>
      <c r="BE21" s="68">
        <f t="array" ref="BE21">
_xlfn.LET(_xlpm.COEFF,
IF($AW21+$AX21=0,0,IF(MAX(MIN($AX21,EOMONTH(BE$15,0))-MAX($AW21,BE$15)+1,)&gt;0,1,0)),
_xlfn.IFS(
$ES21="LisChannel",
_xlpm.COEFF*
INDEX({1;1;1.2;1.2;1;1;1;1;1.2;1.2;1.2;1.2},
MATCH(MONTH(BE$15),
{1,2,3,4,5,6,7,8,9,10,11,12})),
CONCATENATE($ES21," ",$L21)="RussOutdoor метро",
_xlpm.COEFF*
INDEX({0.8;0.9;1.1;1.1;1;1;1;1;1.1;1.1;1.1;1.1},
MATCH(MONTH(BE$15),
{1,2,3,4,5,6,7,8,9,10,11,12})),
$ES21&lt;&gt;"LisChannel",
_xlpm.COEFF,
$ES21&lt;&gt;"RussOutdoor",
_xlpm.COEFF))</f>
        <v/>
      </c>
      <c r="BF21" s="68">
        <f t="array" ref="BF21">
_xlfn.LET(_xlpm.COEFF,
IF($AW21+$AX21=0,0,IF(MAX(MIN($AX21,EOMONTH(BF$15,0))-MAX($AW21,BF$15)+1,)&gt;0,1,0)),
_xlfn.IFS(
$ES21="LisChannel",
_xlpm.COEFF*
INDEX({1;1;1.2;1.2;1;1;1;1;1.2;1.2;1.2;1.2},
MATCH(MONTH(BF$15),
{1,2,3,4,5,6,7,8,9,10,11,12})),
CONCATENATE($ES21," ",$L21)="RussOutdoor метро",
_xlpm.COEFF*
INDEX({0.8;0.9;1.1;1.1;1;1;1;1;1.1;1.1;1.1;1.1},
MATCH(MONTH(BF$15),
{1,2,3,4,5,6,7,8,9,10,11,12})),
$ES21&lt;&gt;"LisChannel",
_xlpm.COEFF,
$ES21&lt;&gt;"RussOutdoor",
_xlpm.COEFF))</f>
        <v/>
      </c>
      <c r="BG21" s="68">
        <f t="array" ref="BG21">
_xlfn.LET(_xlpm.COEFF,
IF($AW21+$AX21=0,0,IF(MAX(MIN($AX21,EOMONTH(BG$15,0))-MAX($AW21,BG$15)+1,)&gt;0,1,0)),
_xlfn.IFS(
$ES21="LisChannel",
_xlpm.COEFF*
INDEX({1;1;1.2;1.2;1;1;1;1;1.2;1.2;1.2;1.2},
MATCH(MONTH(BG$15),
{1,2,3,4,5,6,7,8,9,10,11,12})),
CONCATENATE($ES21," ",$L21)="RussOutdoor метро",
_xlpm.COEFF*
INDEX({0.8;0.9;1.1;1.1;1;1;1;1;1.1;1.1;1.1;1.1},
MATCH(MONTH(BG$15),
{1,2,3,4,5,6,7,8,9,10,11,12})),
$ES21&lt;&gt;"LisChannel",
_xlpm.COEFF,
$ES21&lt;&gt;"RussOutdoor",
_xlpm.COEFF))</f>
        <v/>
      </c>
      <c r="BH21" s="68">
        <f t="array" ref="BH21">
_xlfn.LET(_xlpm.COEFF,
IF($AW21+$AX21=0,0,IF(MAX(MIN($AX21,EOMONTH(BH$15,0))-MAX($AW21,BH$15)+1,)&gt;0,1,0)),
_xlfn.IFS(
$ES21="LisChannel",
_xlpm.COEFF*
INDEX({1;1;1.2;1.2;1;1;1;1;1.2;1.2;1.2;1.2},
MATCH(MONTH(BH$15),
{1,2,3,4,5,6,7,8,9,10,11,12})),
CONCATENATE($ES21," ",$L21)="RussOutdoor метро",
_xlpm.COEFF*
INDEX({0.8;0.9;1.1;1.1;1;1;1;1;1.1;1.1;1.1;1.1},
MATCH(MONTH(BH$15),
{1,2,3,4,5,6,7,8,9,10,11,12})),
$ES21&lt;&gt;"LisChannel",
_xlpm.COEFF,
$ES21&lt;&gt;"RussOutdoor",
_xlpm.COEFF))</f>
        <v/>
      </c>
      <c r="BI21" s="68">
        <f t="array" ref="BI21">
_xlfn.LET(_xlpm.COEFF,
IF($AW21+$AX21=0,0,IF(MAX(MIN($AX21,EOMONTH(BI$15,0))-MAX($AW21,BI$15)+1,)&gt;0,1,0)),
_xlfn.IFS(
$ES21="LisChannel",
_xlpm.COEFF*
INDEX({1;1;1.2;1.2;1;1;1;1;1.2;1.2;1.2;1.2},
MATCH(MONTH(BI$15),
{1,2,3,4,5,6,7,8,9,10,11,12})),
CONCATENATE($ES21," ",$L21)="RussOutdoor метро",
_xlpm.COEFF*
INDEX({0.8;0.9;1.1;1.1;1;1;1;1;1.1;1.1;1.1;1.1},
MATCH(MONTH(BI$15),
{1,2,3,4,5,6,7,8,9,10,11,12})),
$ES21&lt;&gt;"LisChannel",
_xlpm.COEFF,
$ES21&lt;&gt;"RussOutdoor",
_xlpm.COEFF))</f>
        <v/>
      </c>
      <c r="BJ21" s="68">
        <f t="array" ref="BJ21">
_xlfn.LET(_xlpm.COEFF,
IF($AW21+$AX21=0,0,IF(MAX(MIN($AX21,EOMONTH(BJ$15,0))-MAX($AW21,BJ$15)+1,)&gt;0,1,0)),
_xlfn.IFS(
$ES21="LisChannel",
_xlpm.COEFF*
INDEX({1;1;1.2;1.2;1;1;1;1;1.2;1.2;1.2;1.2},
MATCH(MONTH(BJ$15),
{1,2,3,4,5,6,7,8,9,10,11,12})),
CONCATENATE($ES21," ",$L21)="RussOutdoor метро",
_xlpm.COEFF*
INDEX({0.8;0.9;1.1;1.1;1;1;1;1;1.1;1.1;1.1;1.1},
MATCH(MONTH(BJ$15),
{1,2,3,4,5,6,7,8,9,10,11,12})),
$ES21&lt;&gt;"LisChannel",
_xlpm.COEFF,
$ES21&lt;&gt;"RussOutdoor",
_xlpm.COEFF))</f>
        <v/>
      </c>
      <c r="BK21" s="68">
        <f t="array" ref="BK21">
_xlfn.LET(_xlpm.COEFF,
IF($AW21+$AX21=0,0,IF(MAX(MIN($AX21,EOMONTH(BK$15,0))-MAX($AW21,BK$15)+1,)&gt;0,1,0)),
_xlfn.IFS(
$ES21="LisChannel",
_xlpm.COEFF*
INDEX({1;1;1.2;1.2;1;1;1;1;1.2;1.2;1.2;1.2},
MATCH(MONTH(BK$15),
{1,2,3,4,5,6,7,8,9,10,11,12})),
CONCATENATE($ES21," ",$L21)="RussOutdoor метро",
_xlpm.COEFF*
INDEX({0.8;0.9;1.1;1.1;1;1;1;1;1.1;1.1;1.1;1.1},
MATCH(MONTH(BK$15),
{1,2,3,4,5,6,7,8,9,10,11,12})),
$ES21&lt;&gt;"LisChannel",
_xlpm.COEFF,
$ES21&lt;&gt;"RussOutdoor",
_xlpm.COEFF))</f>
        <v/>
      </c>
      <c r="BL21" s="62">
        <f>COUNTIFS($AZ21:$BK21,"&gt;0")</f>
        <v/>
      </c>
      <c r="BM21" s="65" t="n"/>
      <c r="BN21" s="121">
        <f>$DJ21</f>
        <v/>
      </c>
      <c r="BO21" s="63">
        <f>$DQ21</f>
        <v/>
      </c>
      <c r="BP21" s="121">
        <f>
IFERROR(
IF($BL21=0,0,
$BN21*(1-$BO21)),
0)</f>
        <v/>
      </c>
      <c r="BQ21" s="121">
        <f t="array" ref="BQ21">
IFERROR(
_xlfn.IFS(
$DH21="день_1",
$BP21*$BL21/($AX21-$AW21+1)*AZ21*(DAY(EOMONTH(AZ$15,0))),
$DH21="день_2",
$BP21/30*MAX(MIN($AX21,EOMONTH(AZ$15,0))-MAX($AW21,AZ$15)+1,),
$DH21="раб.день",
$BP21/30*(IFERROR(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$BP21*AZ21,
$DH21="неделя",
$BP21*AZ21/7*(ROUNDUP((DAY(EOMONTH(AZ$15,0)))/4,0))),
0)</f>
        <v/>
      </c>
      <c r="BR21" s="121">
        <f t="array" ref="BR21">
IFERROR(
_xlfn.IFS(
$DH21="день_1",
$BP21*$BL21/($AX21-$AW21+1)*BA21*(DAY(EOMONTH(BA$15,0))),
$DH21="день_2",
$BP21/30*MAX(MIN($AX21,EOMONTH(BA$15,0))-MAX($AW21,BA$15)+1,),
$DH21="раб.день",
$BP21/30*(IFERROR(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$BP21*BA21,
$DH21="неделя",
$BP21*BA21/7*(ROUNDUP((DAY(EOMONTH(BA$15,0)))/4,0))),
0)</f>
        <v/>
      </c>
      <c r="BS21" s="121">
        <f t="array" ref="BS21">
IFERROR(
_xlfn.IFS(
$DH21="день_1",
$BP21*$BL21/($AX21-$AW21+1)*BB21*(DAY(EOMONTH(BB$15,0))),
$DH21="день_2",
$BP21/30*MAX(MIN($AX21,EOMONTH(BB$15,0))-MAX($AW21,BB$15)+1,),
$DH21="раб.день",
$BP21/30*(IFERROR(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$BP21*BB21,
$DH21="неделя",
$BP21*BB21/7*(ROUNDUP((DAY(EOMONTH(BB$15,0)))/4,0))),
0)</f>
        <v/>
      </c>
      <c r="BT21" s="121">
        <f t="array" ref="BT21">
IFERROR(
_xlfn.IFS(
$DH21="день_1",
$BP21*$BL21/($AX21-$AW21+1)*BC21*(DAY(EOMONTH(BC$15,0))),
$DH21="день_2",
$BP21/30*MAX(MIN($AX21,EOMONTH(BC$15,0))-MAX($AW21,BC$15)+1,),
$DH21="раб.день",
$BP21/30*(IFERROR(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$BP21*BC21,
$DH21="неделя",
$BP21*BC21/7*(ROUNDUP((DAY(EOMONTH(BC$15,0)))/4,0))),
0)</f>
        <v/>
      </c>
      <c r="BU21" s="121">
        <f t="array" ref="BU21">
IFERROR(
_xlfn.IFS(
$DH21="день_1",
$BP21*$BL21/($AX21-$AW21+1)*BD21*(DAY(EOMONTH(BD$15,0))),
$DH21="день_2",
$BP21/30*MAX(MIN($AX21,EOMONTH(BD$15,0))-MAX($AW21,BD$15)+1,),
$DH21="раб.день",
$BP21/30*(IFERROR(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$BP21*BD21,
$DH21="неделя",
$BP21*BD21/7*(ROUNDUP((DAY(EOMONTH(BD$15,0)))/4,0))),
0)</f>
        <v/>
      </c>
      <c r="BV21" s="121">
        <f t="array" ref="BV21">
IFERROR(
_xlfn.IFS(
$DH21="день_1",
$BP21*$BL21/($AX21-$AW21+1)*BE21*(DAY(EOMONTH(BE$15,0))),
$DH21="день_2",
$BP21/30*MAX(MIN($AX21,EOMONTH(BE$15,0))-MAX($AW21,BE$15)+1,),
$DH21="раб.день",
$BP21/30*(IFERROR(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$BP21*BE21,
$DH21="неделя",
$BP21*BE21/7*(ROUNDUP((DAY(EOMONTH(BE$15,0)))/4,0))),
0)</f>
        <v/>
      </c>
      <c r="BW21" s="121">
        <f t="array" ref="BW21">
IFERROR(
_xlfn.IFS(
$DH21="день_1",
$BP21*$BL21/($AX21-$AW21+1)*BF21*(DAY(EOMONTH(BF$15,0))),
$DH21="день_2",
$BP21/30*MAX(MIN($AX21,EOMONTH(BF$15,0))-MAX($AW21,BF$15)+1,),
$DH21="раб.день",
$BP21/30*(IFERROR(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$BP21*BF21,
$DH21="неделя",
$BP21*BF21/7*(ROUNDUP((DAY(EOMONTH(BF$15,0)))/4,0))),
0)</f>
        <v/>
      </c>
      <c r="BX21" s="121">
        <f t="array" ref="BX21">
IFERROR(
_xlfn.IFS(
$DH21="день_1",
$BP21*$BL21/($AX21-$AW21+1)*BG21*(DAY(EOMONTH(BG$15,0))),
$DH21="день_2",
$BP21/30*MAX(MIN($AX21,EOMONTH(BG$15,0))-MAX($AW21,BG$15)+1,),
$DH21="раб.день",
$BP21/30*(IFERROR(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$BP21*BG21,
$DH21="неделя",
$BP21*BG21/7*(ROUNDUP((DAY(EOMONTH(BG$15,0)))/4,0))),
0)</f>
        <v/>
      </c>
      <c r="BY21" s="121">
        <f t="array" ref="BY21">
IFERROR(
_xlfn.IFS(
$DH21="день_1",
$BP21*$BL21/($AX21-$AW21+1)*BH21*(DAY(EOMONTH(BH$15,0))),
$DH21="день_2",
$BP21/30*MAX(MIN($AX21,EOMONTH(BH$15,0))-MAX($AW21,BH$15)+1,),
$DH21="раб.день",
$BP21/30*(IFERROR(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$BP21*BH21,
$DH21="неделя",
$BP21*BH21/7*(ROUNDUP((DAY(EOMONTH(BH$15,0)))/4,0))),
0)</f>
        <v/>
      </c>
      <c r="BZ21" s="121">
        <f t="array" ref="BZ21">
IFERROR(
_xlfn.IFS(
$DH21="день_1",
$BP21*$BL21/($AX21-$AW21+1)*BI21*(DAY(EOMONTH(BI$15,0))),
$DH21="день_2",
$BP21/30*MAX(MIN($AX21,EOMONTH(BI$15,0))-MAX($AW21,BI$15)+1,),
$DH21="раб.день",
$BP21/30*(IFERROR(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$BP21*BI21,
$DH21="неделя",
$BP21*BI21/7*(ROUNDUP((DAY(EOMONTH(BI$15,0)))/4,0))),
0)</f>
        <v/>
      </c>
      <c r="CA21" s="121">
        <f t="array" ref="CA21">
IFERROR(
_xlfn.IFS(
$DH21="день_1",
$BP21*$BL21/($AX21-$AW21+1)*BJ21*(DAY(EOMONTH(BJ$15,0))),
$DH21="день_2",
$BP21/30*MAX(MIN($AX21,EOMONTH(BJ$15,0))-MAX($AW21,BJ$15)+1,),
$DH21="раб.день",
$BP21/30*(IFERROR(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$BP21*BJ21,
$DH21="неделя",
$BP21*BJ21/7*(ROUNDUP((DAY(EOMONTH(BJ$15,0)))/4,0))),
0)</f>
        <v/>
      </c>
      <c r="CB21" s="121">
        <f t="array" ref="CB21">
IFERROR(
_xlfn.IFS(
$DH21="день_1",
$BP21*$BL21/($AX21-$AW21+1)*BK21*(DAY(EOMONTH(BK$15,0))),
$DH21="день_2",
$BP21/30*MAX(MIN($AX21,EOMONTH(BK$15,0))-MAX($AW21,BK$15)+1,),
$DH21="раб.день",
$BP21/30*(IFERROR(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$BP21*BK21,
$DH21="неделя",
$BP21*BK21/7*(ROUNDUP((DAY(EOMONTH(BK$15,0)))/4,0))),
0)</f>
        <v/>
      </c>
      <c r="CC21" s="121">
        <f>SUM($BQ21:$CB21)</f>
        <v/>
      </c>
      <c r="CD21" s="122">
        <f>SUM($EH21:$EH21)</f>
        <v/>
      </c>
      <c r="CE21" s="122">
        <f>$CD21*$AB21</f>
        <v/>
      </c>
      <c r="CF21" s="122">
        <f>SUM($EK21:$EK21)</f>
        <v/>
      </c>
      <c r="CG21" s="122">
        <f>$CF21*$AB21</f>
        <v/>
      </c>
      <c r="CH21" s="122">
        <f>SUM($CC21,$CE21,$CG21)</f>
        <v/>
      </c>
      <c r="CI21" s="122">
        <f>$CH21*(1+$CM21)</f>
        <v/>
      </c>
      <c r="CJ21" s="123" t="n">
        <v>0</v>
      </c>
      <c r="CK21" s="122">
        <f>SUM($CH21:$CH21)*(1+$CJ21)</f>
        <v/>
      </c>
      <c r="CL21" s="122">
        <f>SUM($CH21:$CH21)*(1+$CM21)</f>
        <v/>
      </c>
      <c r="CM21" s="59" t="n"/>
      <c r="CN21" s="59" t="n"/>
      <c r="CO21" s="72" t="n"/>
      <c r="CP21" s="59" t="n"/>
      <c r="CQ21" s="73" t="n"/>
      <c r="CR21" s="73" t="n"/>
      <c r="CS21" s="73" t="n"/>
      <c r="CT21" s="72" t="n"/>
      <c r="CU21" s="79" t="inlineStr">
        <is>
          <t> </t>
        </is>
      </c>
      <c r="CV21" s="60" t="n"/>
      <c r="CW21" s="60" t="n"/>
      <c r="CX21" s="60" t="n"/>
      <c r="CY21" s="123">
        <f>IFERROR(($CC21-$EE21)/($EE21/(1-$DQ21)),0)</f>
        <v/>
      </c>
      <c r="CZ21" s="123">
        <f>IFERROR(1-$EI21/($CE21),0)</f>
        <v/>
      </c>
      <c r="DA21" s="123">
        <f>IFERROR(1-$EL21/($CG21),0)</f>
        <v/>
      </c>
      <c r="DB21" s="122">
        <f>ROUND(IFERROR(($CI21/(1+$CM21)-$EN21),0),2)</f>
        <v/>
      </c>
      <c r="DC21" s="124" t="n"/>
      <c r="DD21" s="121" t="n"/>
      <c r="DE21" s="75" t="n">
        <v>0</v>
      </c>
      <c r="DF21" s="124" t="n"/>
      <c r="DG21" s="121">
        <f>IF($DC21=0,0,$DD21*($DC21*100%-$DE21*$DF21))*SUM($AB21:$AB21)</f>
        <v/>
      </c>
      <c r="DH21" s="125" t="inlineStr">
        <is>
          <t>месяц</t>
        </is>
      </c>
      <c r="DI21" s="126">
        <f t="array" ref="DI21">IFERROR(
IF($ES21="LisChannel",
(ROUND(((INDEX({174.625;153.888888888889;130.972222222222},MATCH($AI21,{2;3;4}),0))*$AG21*$AI21),2)),0),0)</f>
        <v/>
      </c>
      <c r="DJ21" s="126">
        <f>
_xlfn.LET(_xlpm.X,
IFERROR(
IF($ES21="НовиковТВ",
(_xlfn.LET(_xlpm.NTV,
_xlfn.LET(_xlpm.MIN,350000,
IF(SUMIFS($DI:$DI,$ES:$ES,"НовиковТВ")&lt;=_xlpm.MIN,
(SUMIFS($DI:$DI,$ES:$ES,"НовиковТВ")/(COUNTIFS($ES:$ES,"НовиковТВ")))*_xlpm.MIN/SUMIFS($DI:$DI,$ES:$ES,"НовиковТВ"),
DI21)),
_xlpm.NTV+$DG21/(1-(1-(_xlpm.NTV)*(1-$DL21)*(1-$DM21)*(1-$DN21)*(1-$DO21)*(1-$DP21)/_xlpm.NTV))))/(1+$EP21),
$DI21+$DG21/(1-(1-($DI21)*(1-$DL21)*(1-$DM21)*(1-$DN21)*(1-$DO21)*(1-$DP21)/$DI21))),
0),
_xlpm.X*(1+$CM21)*(1+$CW21)-_xlpm.X*(1+$CM21)+_xlpm.X)</f>
        <v/>
      </c>
      <c r="DK21" s="121" t="inlineStr">
        <is>
          <t>послед.</t>
        </is>
      </c>
      <c r="DL21" s="63" t="n">
        <v>0</v>
      </c>
      <c r="DM21" s="63" t="n">
        <v>0</v>
      </c>
      <c r="DN21" s="63" t="n">
        <v>0</v>
      </c>
      <c r="DO21" s="63" t="n">
        <v>0</v>
      </c>
      <c r="DP21" s="63" t="n">
        <v>0</v>
      </c>
      <c r="DQ21" s="63">
        <f t="array" ref="DQ21">IFERROR(_xlfn.IFS(
$DK21="послед.",1-(1-$DL21)*(1-$DM21)*(1-$DN21)*(1-$DO21)*(1-$DP21),
$DK21="сумм.",$DL21+$DM21+$DN21+$DO21+$DP21),
0)</f>
        <v/>
      </c>
      <c r="DR21" s="121">
        <f t="array" ref="DR21">
IFERROR(
_xlfn.IFS(
$BL21=0,
0,
$BL21&gt;0,
_xlfn.IFS($DK21="послед.",
$DJ21*(1-$DL21)*(1-$DM21)*(1-$DN21)*(1-$DO21)*(1-$DP21),
$DK21="сумм.",
$DJ21*(1-($DL21+$DM21+$DN21+$DO21+$DP21)))),0)</f>
        <v/>
      </c>
      <c r="DS21" s="121">
        <f t="array" ref="DS21">
IFERROR(_xlfn.IFS(
$DH21="день_1",
$DR21*$BL21/($AX21-$AW21+1)*AZ21*(DAY(EOMONTH(AZ$15,0))),
$DH21="день_2",
$DR21/30*MAX(MIN($AX21,EOMONTH(AZ$15,0))-MAX($AW21,AZ$15)+1,),
$DH21="раб.день",
$DR21/30*(IFERROR(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$DR21*AZ21,
$DH21="неделя",
$DR21*AZ21/7*(ROUNDUP((DAY(EOMONTH(AZ$15,0)))/4,0))),
0)</f>
        <v/>
      </c>
      <c r="DT21" s="121">
        <f t="array" ref="DT21">
IFERROR(_xlfn.IFS(
$DH21="день_1",
$DR21*$BL21/($AX21-$AW21+1)*BA21*(DAY(EOMONTH(BA$15,0))),
$DH21="день_2",
$DR21/30*MAX(MIN($AX21,EOMONTH(BA$15,0))-MAX($AW21,BA$15)+1,),
$DH21="раб.день",
$DR21/30*(IFERROR(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$DR21*BA21,
$DH21="неделя",
$DR21*BA21/7*(ROUNDUP((DAY(EOMONTH(BA$15,0)))/4,0))),
0)</f>
        <v/>
      </c>
      <c r="DU21" s="121">
        <f t="array" ref="DU21">
IFERROR(_xlfn.IFS(
$DH21="день_1",
$DR21*$BL21/($AX21-$AW21+1)*BB21*(DAY(EOMONTH(BB$15,0))),
$DH21="день_2",
$DR21/30*MAX(MIN($AX21,EOMONTH(BB$15,0))-MAX($AW21,BB$15)+1,),
$DH21="раб.день",
$DR21/30*(IFERROR(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$DR21*BB21,
$DH21="неделя",
$DR21*BB21/7*(ROUNDUP((DAY(EOMONTH(BB$15,0)))/4,0))),
0)</f>
        <v/>
      </c>
      <c r="DV21" s="121">
        <f t="array" ref="DV21">
IFERROR(_xlfn.IFS(
$DH21="день_1",
$DR21*$BL21/($AX21-$AW21+1)*BC21*(DAY(EOMONTH(BC$15,0))),
$DH21="день_2",
$DR21/30*MAX(MIN($AX21,EOMONTH(BC$15,0))-MAX($AW21,BC$15)+1,),
$DH21="раб.день",
$DR21/30*(IFERROR(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$DR21*BC21,
$DH21="неделя",
$DR21*BC21/7*(ROUNDUP((DAY(EOMONTH(BC$15,0)))/4,0))),
0)</f>
        <v/>
      </c>
      <c r="DW21" s="121">
        <f t="array" ref="DW21">
IFERROR(_xlfn.IFS(
$DH21="день_1",
$DR21*$BL21/($AX21-$AW21+1)*BD21*(DAY(EOMONTH(BD$15,0))),
$DH21="день_2",
$DR21/30*MAX(MIN($AX21,EOMONTH(BD$15,0))-MAX($AW21,BD$15)+1,),
$DH21="раб.день",
$DR21/30*(IFERROR(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$DR21*BD21,
$DH21="неделя",
$DR21*BD21/7*(ROUNDUP((DAY(EOMONTH(BD$15,0)))/4,0))),
0)</f>
        <v/>
      </c>
      <c r="DX21" s="121">
        <f t="array" ref="DX21">
IFERROR(_xlfn.IFS(
$DH21="день_1",
$DR21*$BL21/($AX21-$AW21+1)*BE21*(DAY(EOMONTH(BE$15,0))),
$DH21="день_2",
$DR21/30*MAX(MIN($AX21,EOMONTH(BE$15,0))-MAX($AW21,BE$15)+1,),
$DH21="раб.день",
$DR21/30*(IFERROR(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$DR21*BE21,
$DH21="неделя",
$DR21*BE21/7*(ROUNDUP((DAY(EOMONTH(BE$15,0)))/4,0))),
0)</f>
        <v/>
      </c>
      <c r="DY21" s="121">
        <f t="array" ref="DY21">
IFERROR(_xlfn.IFS(
$DH21="день_1",
$DR21*$BL21/($AX21-$AW21+1)*BF21*(DAY(EOMONTH(BF$15,0))),
$DH21="день_2",
$DR21/30*MAX(MIN($AX21,EOMONTH(BF$15,0))-MAX($AW21,BF$15)+1,),
$DH21="раб.день",
$DR21/30*(IFERROR(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$DR21*BF21,
$DH21="неделя",
$DR21*BF21/7*(ROUNDUP((DAY(EOMONTH(BF$15,0)))/4,0))),
0)</f>
        <v/>
      </c>
      <c r="DZ21" s="121">
        <f t="array" ref="DZ21">
IFERROR(_xlfn.IFS(
$DH21="день_1",
$DR21*$BL21/($AX21-$AW21+1)*BG21*(DAY(EOMONTH(BG$15,0))),
$DH21="день_2",
$DR21/30*MAX(MIN($AX21,EOMONTH(BG$15,0))-MAX($AW21,BG$15)+1,),
$DH21="раб.день",
$DR21/30*(IFERROR(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$DR21*BG21,
$DH21="неделя",
$DR21*BG21/7*(ROUNDUP((DAY(EOMONTH(BG$15,0)))/4,0))),
0)</f>
        <v/>
      </c>
      <c r="EA21" s="121">
        <f t="array" ref="EA21">
IFERROR(_xlfn.IFS(
$DH21="день_1",
$DR21*$BL21/($AX21-$AW21+1)*BH21*(DAY(EOMONTH(BH$15,0))),
$DH21="день_2",
$DR21/30*MAX(MIN($AX21,EOMONTH(BH$15,0))-MAX($AW21,BH$15)+1,),
$DH21="раб.день",
$DR21/30*(IFERROR(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$DR21*BH21,
$DH21="неделя",
$DR21*BH21/7*(ROUNDUP((DAY(EOMONTH(BH$15,0)))/4,0))),
0)</f>
        <v/>
      </c>
      <c r="EB21" s="121">
        <f t="array" ref="EB21">
IFERROR(_xlfn.IFS(
$DH21="день_1",
$DR21*$BL21/($AX21-$AW21+1)*BI21*(DAY(EOMONTH(BI$15,0))),
$DH21="день_2",
$DR21/30*MAX(MIN($AX21,EOMONTH(BI$15,0))-MAX($AW21,BI$15)+1,),
$DH21="раб.день",
$DR21/30*(IFERROR(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$DR21*BI21,
$DH21="неделя",
$DR21*BI21/7*(ROUNDUP((DAY(EOMONTH(BI$15,0)))/4,0))),
0)</f>
        <v/>
      </c>
      <c r="EC21" s="121">
        <f t="array" ref="EC21">
IFERROR(_xlfn.IFS(
$DH21="день_1",
$DR21*$BL21/($AX21-$AW21+1)*BJ21*(DAY(EOMONTH(BJ$15,0))),
$DH21="день_2",
$DR21/30*MAX(MIN($AX21,EOMONTH(BJ$15,0))-MAX($AW21,BJ$15)+1,),
$DH21="раб.день",
$DR21/30*(IFERROR(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$DR21*BJ21,
$DH21="неделя",
$DR21*BJ21/7*(ROUNDUP((DAY(EOMONTH(BJ$15,0)))/4,0))),
0)</f>
        <v/>
      </c>
      <c r="ED21" s="121">
        <f t="array" ref="ED21">
IFERROR(_xlfn.IFS(
$DH21="день_1",
$DR21*$BL21/($AX21-$AW21+1)*BK21*(DAY(EOMONTH(BK$15,0))),
$DH21="день_2",
$DR21/30*MAX(MIN($AX21,EOMONTH(BK$15,0))-MAX($AW21,BK$15)+1,),
$DH21="раб.день",
$DR21/30*(IFERROR(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$DR21*BK21,
$DH21="неделя",
$DR21*BK21/7*(ROUNDUP((DAY(EOMONTH(BK$15,0)))/4,0))),
0)</f>
        <v/>
      </c>
      <c r="EE21" s="121">
        <f>SUM($DS21,$DT21,$DU21,$DV21,$DW21,$DX21,$DY21,$DZ21,$EA21,$EB21,$EC21,$ED21)</f>
        <v/>
      </c>
      <c r="EF21" s="121">
        <f>IFERROR(ROUND($EE21*(1+$EP21),2),0)</f>
        <v/>
      </c>
      <c r="EG21" s="124" t="n">
        <v>1</v>
      </c>
      <c r="EH21" s="122" t="n">
        <v>0</v>
      </c>
      <c r="EI21" s="122">
        <f>ROUND(SUM($EH21:$EH21)*SUM($AB21:$AB21)*$EG21,2)</f>
        <v/>
      </c>
      <c r="EJ21" s="122">
        <f>ROUND($EI21*(1+$EP21),2)</f>
        <v/>
      </c>
      <c r="EK21" s="122" t="n">
        <v>0</v>
      </c>
      <c r="EL21" s="122">
        <f>ROUND(SUM($EK21:$EK21)*SUM($AB21:$AB21)*$EG21,2)</f>
        <v/>
      </c>
      <c r="EM21" s="122">
        <f>ROUND($EL21*(1+$EP21),2)</f>
        <v/>
      </c>
      <c r="EN21" s="122">
        <f>SUM($EE21,$EI21,$EL21)</f>
        <v/>
      </c>
      <c r="EO21" s="122">
        <f>SUM($EF21,$EJ21,$EM21)</f>
        <v/>
      </c>
      <c r="EP21" s="59" t="n"/>
      <c r="EQ21" s="59" t="n"/>
      <c r="ER21" s="60">
        <f t="array" ref="ER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
{"AMS";"RussOutdoor";"HD Outdoor";"Ingroup";"IQ";"Ledproduction";"LisChannel";"Logic";"Media-PPL";"NovikovTV | НовиковТВ";"SMA";"SOK";"КрокусТВ | CrocusTV | IndoorTV";"Сити";"ТЯК Москва"},
0)),"")</f>
        <v/>
      </c>
      <c r="ES21" s="60" t="n"/>
      <c r="ET21" s="60">
        <f t="array" ref="ET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
{"AMS";"RussOutdoor";"HD Outdoor";"Ingroup";"IQ";"Ledproduction";"LisChannel";"Logic";"Media-PPL";"NovikovTV | НовиковТВ";"SMA";"SOK";"КрокусТВ | CrocusTV | IndoorTV";"Сити";"ТЯК Москва"},
0)),"")</f>
        <v/>
      </c>
      <c r="EU21" s="60" t="n"/>
      <c r="EV21" s="60" t="n"/>
      <c r="EW21" t="inlineStr">
        <is>
          <t> </t>
        </is>
      </c>
    </row>
    <row r="22">
      <c r="A22" s="59" t="n"/>
      <c r="B22" s="60" t="n"/>
      <c r="C22" s="60" t="n"/>
      <c r="D22" s="60">
        <f t="array" ref="D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2" s="60">
        <f t="array" ref="E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2" s="60" t="inlineStr"/>
      <c r="G22" s="60" t="n"/>
      <c r="H22" s="60">
        <f t="array" ref="H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2" s="60" t="n"/>
      <c r="J22" s="60" t="n"/>
      <c r="K22" s="60" t="n"/>
      <c r="L22" s="60" t="n"/>
      <c r="M22" s="60" t="n"/>
      <c r="N22" s="60" t="n"/>
      <c r="O22" s="60" t="n"/>
      <c r="P22" s="60">
        <f t="array" ref="P22">
_xlfn.IFS(
ISNUMBER(MATCH($Q22,{"шелфбаннер","разделитель","монетница","чековая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ISNUMBER(MATCH($Q22,{"каталог","журнал"},)),
"Пресса",
$Q22="","")</f>
        <v/>
      </c>
      <c r="Q22" s="60" t="n"/>
      <c r="R22" s="60">
        <f t="array" ref="R22">
IFERROR(
_xlfn.IFS(
OR(ISNUMBER(MATCH($Q22,{"экспозиция","макет","стенд","автостенд","авто стенд","выставочное пространство","выставочные стенды","модульные выставочные стенды","3Д конструкция","3D конструкция"},)),P22="Экспонирование"),
"нестандартный",
ISNUMBER(MATCH($Q22,{"скроллер","призматрон"},)),
"динамический",
$P22="Видео",
"цифровой",
OR($P22="Пресса",$P22="Щит",$P22="POSm",$P22="Подвес",$P22="Брендирование/оклейка"),
"статический"),"")</f>
        <v/>
      </c>
      <c r="S22" s="59" t="n"/>
      <c r="T22" s="60" t="n"/>
      <c r="U22" s="60" t="n"/>
      <c r="V22" s="60">
        <f>
IF(P22="Видео",
"цифровой постер/ролик",
IF(ISNUMBER(MATCH(Q22,{"короб световой","короб световой | лайтбокс","короб световой | кристалайт","лайтбокс","лайт бокс","кристалайт","LB","lightbox"},)),
"бэклит",
IF(P22="Брендирование/оклейка",
"перфарированная пленка/самоклейка",
IF(P22="Экспонирование",
"под запрос",
IF(P22="Подвес",
"баннер/ткань",
"")))))</f>
        <v/>
      </c>
      <c r="W22" s="59" t="n"/>
      <c r="X22" s="59" t="n"/>
      <c r="Y22" s="59" t="n"/>
      <c r="Z22" s="61" t="n"/>
      <c r="AA22" s="61" t="n"/>
      <c r="AB22" s="61">
        <f>IF(BL22&gt;0,Z22,0)</f>
        <v/>
      </c>
      <c r="AC22" s="59" t="n"/>
      <c r="AD22" s="59" t="n"/>
      <c r="AE22" s="59" t="n"/>
      <c r="AF22" s="59" t="n"/>
      <c r="AG22" s="59" t="n"/>
      <c r="AH22" s="59" t="e">
        <v>#VALUE!</v>
      </c>
      <c r="AI22" s="59" t="n"/>
      <c r="AJ22" s="59" t="n"/>
      <c r="AK22" s="59" t="n"/>
      <c r="AL22" s="62">
        <f>IFERROR(IF(OR(R22="статический",R22="динамический",R22="нестандартный",R22="",R22=""),"-",IF(AND(AH22="-",AI22="-"),"-",AK22*3600/AH22*AI22)),"-")</f>
        <v/>
      </c>
      <c r="AM22" s="62">
        <f>IFERROR(IF(OR(R22="статический",R22="динамический",R22="",R22="", R22="BTL",R22="нестандартный"),"-",AG22*AI22*AL22/60),"-")</f>
        <v/>
      </c>
      <c r="AN22" s="63">
        <f>IFERROR(IF(AH22="","-",AG22*AI22/AH22),"-")</f>
        <v/>
      </c>
      <c r="AO22" s="59">
        <f>IFERROR(IF(OR($R22="статический",$R22="динамический",$R22="",$R22="",$R22="BTL",$R22="нестандартный"),"-",$AL22*$AY22),"-")</f>
        <v/>
      </c>
      <c r="AP22" s="62">
        <f>IFERROR(IF(OR($R22="статический",$R22="динамический",$R22="",$R22="",$R22="BTL",$R22="нестандартный"),"-",$AM22*AY22),"-")</f>
        <v/>
      </c>
      <c r="AQ22" s="64" t="n"/>
      <c r="AR22" s="61" t="n"/>
      <c r="AS22" s="61" t="n"/>
      <c r="AT22" s="61" t="n"/>
      <c r="AU22" s="65" t="n"/>
      <c r="AV22" s="120">
        <f>IFERROR(DR22/AT22*1000,"n/a")</f>
        <v/>
      </c>
      <c r="AW22" s="67" t="n"/>
      <c r="AX22" s="67" t="n"/>
      <c r="AY22" s="43">
        <f>IFERROR(IF(OR($AW22="",$AX22=""),"",_xlfn.DAYS($AX22+1,$AW22)),"")</f>
        <v/>
      </c>
      <c r="AZ22" s="68">
        <f t="array" ref="AZ22">
_xlfn.LET(_xlpm.COEFF,
IF($AW22+$AX22=0,0,IF(MAX(MIN($AX22,EOMONTH(AZ$15,0))-MAX($AW22,AZ$15)+1,)&gt;0,1,0)),
_xlfn.IFS(
$ES22="LisChannel",
_xlpm.COEFF*
INDEX({1;1;1.2;1.2;1;1;1;1;1.2;1.2;1.2;1.2},
MATCH(MONTH(AZ$15),
{1,2,3,4,5,6,7,8,9,10,11,12})),
CONCATENATE($ES22," ",$L22)="RussOutdoor метро",
_xlpm.COEFF*
INDEX({0.8;0.9;1.1;1.1;1;1;1;1;1.1;1.1;1.1;1.1},
MATCH(MONTH(AZ$15),
{1,2,3,4,5,6,7,8,9,10,11,12})),
$ES22&lt;&gt;"LisChannel",
_xlpm.COEFF,
$ES22&lt;&gt;"RussOutdoor",
_xlpm.COEFF))</f>
        <v/>
      </c>
      <c r="BA22" s="68">
        <f t="array" ref="BA22">
_xlfn.LET(_xlpm.COEFF,
IF($AW22+$AX22=0,0,IF(MAX(MIN($AX22,EOMONTH(BA$15,0))-MAX($AW22,BA$15)+1,)&gt;0,1,0)),
_xlfn.IFS(
$ES22="LisChannel",
_xlpm.COEFF*
INDEX({1;1;1.2;1.2;1;1;1;1;1.2;1.2;1.2;1.2},
MATCH(MONTH(BA$15),
{1,2,3,4,5,6,7,8,9,10,11,12})),
CONCATENATE($ES22," ",$L22)="RussOutdoor метро",
_xlpm.COEFF*
INDEX({0.8;0.9;1.1;1.1;1;1;1;1;1.1;1.1;1.1;1.1},
MATCH(MONTH(BA$15),
{1,2,3,4,5,6,7,8,9,10,11,12})),
$ES22&lt;&gt;"LisChannel",
_xlpm.COEFF,
$ES22&lt;&gt;"RussOutdoor",
_xlpm.COEFF))</f>
        <v/>
      </c>
      <c r="BB22" s="68">
        <f t="array" ref="BB22">
_xlfn.LET(_xlpm.COEFF,
IF($AW22+$AX22=0,0,IF(MAX(MIN($AX22,EOMONTH(BB$15,0))-MAX($AW22,BB$15)+1,)&gt;0,1,0)),
_xlfn.IFS(
$ES22="LisChannel",
_xlpm.COEFF*
INDEX({1;1;1.2;1.2;1;1;1;1;1.2;1.2;1.2;1.2},
MATCH(MONTH(BB$15),
{1,2,3,4,5,6,7,8,9,10,11,12})),
CONCATENATE($ES22," ",$L22)="RussOutdoor метро",
_xlpm.COEFF*
INDEX({0.8;0.9;1.1;1.1;1;1;1;1;1.1;1.1;1.1;1.1},
MATCH(MONTH(BB$15),
{1,2,3,4,5,6,7,8,9,10,11,12})),
$ES22&lt;&gt;"LisChannel",
_xlpm.COEFF,
$ES22&lt;&gt;"RussOutdoor",
_xlpm.COEFF))</f>
        <v/>
      </c>
      <c r="BC22" s="68">
        <f t="array" ref="BC22">
_xlfn.LET(_xlpm.COEFF,
IF($AW22+$AX22=0,0,IF(MAX(MIN($AX22,EOMONTH(BC$15,0))-MAX($AW22,BC$15)+1,)&gt;0,1,0)),
_xlfn.IFS(
$ES22="LisChannel",
_xlpm.COEFF*
INDEX({1;1;1.2;1.2;1;1;1;1;1.2;1.2;1.2;1.2},
MATCH(MONTH(BC$15),
{1,2,3,4,5,6,7,8,9,10,11,12})),
CONCATENATE($ES22," ",$L22)="RussOutdoor метро",
_xlpm.COEFF*
INDEX({0.8;0.9;1.1;1.1;1;1;1;1;1.1;1.1;1.1;1.1},
MATCH(MONTH(BC$15),
{1,2,3,4,5,6,7,8,9,10,11,12})),
$ES22&lt;&gt;"LisChannel",
_xlpm.COEFF,
$ES22&lt;&gt;"RussOutdoor",
_xlpm.COEFF))</f>
        <v/>
      </c>
      <c r="BD22" s="68">
        <f t="array" ref="BD22">
_xlfn.LET(_xlpm.COEFF,
IF($AW22+$AX22=0,0,IF(MAX(MIN($AX22,EOMONTH(BD$15,0))-MAX($AW22,BD$15)+1,)&gt;0,1,0)),
_xlfn.IFS(
$ES22="LisChannel",
_xlpm.COEFF*
INDEX({1;1;1.2;1.2;1;1;1;1;1.2;1.2;1.2;1.2},
MATCH(MONTH(BD$15),
{1,2,3,4,5,6,7,8,9,10,11,12})),
CONCATENATE($ES22," ",$L22)="RussOutdoor метро",
_xlpm.COEFF*
INDEX({0.8;0.9;1.1;1.1;1;1;1;1;1.1;1.1;1.1;1.1},
MATCH(MONTH(BD$15),
{1,2,3,4,5,6,7,8,9,10,11,12})),
$ES22&lt;&gt;"LisChannel",
_xlpm.COEFF,
$ES22&lt;&gt;"RussOutdoor",
_xlpm.COEFF))</f>
        <v/>
      </c>
      <c r="BE22" s="68">
        <f t="array" ref="BE22">
_xlfn.LET(_xlpm.COEFF,
IF($AW22+$AX22=0,0,IF(MAX(MIN($AX22,EOMONTH(BE$15,0))-MAX($AW22,BE$15)+1,)&gt;0,1,0)),
_xlfn.IFS(
$ES22="LisChannel",
_xlpm.COEFF*
INDEX({1;1;1.2;1.2;1;1;1;1;1.2;1.2;1.2;1.2},
MATCH(MONTH(BE$15),
{1,2,3,4,5,6,7,8,9,10,11,12})),
CONCATENATE($ES22," ",$L22)="RussOutdoor метро",
_xlpm.COEFF*
INDEX({0.8;0.9;1.1;1.1;1;1;1;1;1.1;1.1;1.1;1.1},
MATCH(MONTH(BE$15),
{1,2,3,4,5,6,7,8,9,10,11,12})),
$ES22&lt;&gt;"LisChannel",
_xlpm.COEFF,
$ES22&lt;&gt;"RussOutdoor",
_xlpm.COEFF))</f>
        <v/>
      </c>
      <c r="BF22" s="68">
        <f t="array" ref="BF22">
_xlfn.LET(_xlpm.COEFF,
IF($AW22+$AX22=0,0,IF(MAX(MIN($AX22,EOMONTH(BF$15,0))-MAX($AW22,BF$15)+1,)&gt;0,1,0)),
_xlfn.IFS(
$ES22="LisChannel",
_xlpm.COEFF*
INDEX({1;1;1.2;1.2;1;1;1;1;1.2;1.2;1.2;1.2},
MATCH(MONTH(BF$15),
{1,2,3,4,5,6,7,8,9,10,11,12})),
CONCATENATE($ES22," ",$L22)="RussOutdoor метро",
_xlpm.COEFF*
INDEX({0.8;0.9;1.1;1.1;1;1;1;1;1.1;1.1;1.1;1.1},
MATCH(MONTH(BF$15),
{1,2,3,4,5,6,7,8,9,10,11,12})),
$ES22&lt;&gt;"LisChannel",
_xlpm.COEFF,
$ES22&lt;&gt;"RussOutdoor",
_xlpm.COEFF))</f>
        <v/>
      </c>
      <c r="BG22" s="68">
        <f t="array" ref="BG22">
_xlfn.LET(_xlpm.COEFF,
IF($AW22+$AX22=0,0,IF(MAX(MIN($AX22,EOMONTH(BG$15,0))-MAX($AW22,BG$15)+1,)&gt;0,1,0)),
_xlfn.IFS(
$ES22="LisChannel",
_xlpm.COEFF*
INDEX({1;1;1.2;1.2;1;1;1;1;1.2;1.2;1.2;1.2},
MATCH(MONTH(BG$15),
{1,2,3,4,5,6,7,8,9,10,11,12})),
CONCATENATE($ES22," ",$L22)="RussOutdoor метро",
_xlpm.COEFF*
INDEX({0.8;0.9;1.1;1.1;1;1;1;1;1.1;1.1;1.1;1.1},
MATCH(MONTH(BG$15),
{1,2,3,4,5,6,7,8,9,10,11,12})),
$ES22&lt;&gt;"LisChannel",
_xlpm.COEFF,
$ES22&lt;&gt;"RussOutdoor",
_xlpm.COEFF))</f>
        <v/>
      </c>
      <c r="BH22" s="68">
        <f t="array" ref="BH22">
_xlfn.LET(_xlpm.COEFF,
IF($AW22+$AX22=0,0,IF(MAX(MIN($AX22,EOMONTH(BH$15,0))-MAX($AW22,BH$15)+1,)&gt;0,1,0)),
_xlfn.IFS(
$ES22="LisChannel",
_xlpm.COEFF*
INDEX({1;1;1.2;1.2;1;1;1;1;1.2;1.2;1.2;1.2},
MATCH(MONTH(BH$15),
{1,2,3,4,5,6,7,8,9,10,11,12})),
CONCATENATE($ES22," ",$L22)="RussOutdoor метро",
_xlpm.COEFF*
INDEX({0.8;0.9;1.1;1.1;1;1;1;1;1.1;1.1;1.1;1.1},
MATCH(MONTH(BH$15),
{1,2,3,4,5,6,7,8,9,10,11,12})),
$ES22&lt;&gt;"LisChannel",
_xlpm.COEFF,
$ES22&lt;&gt;"RussOutdoor",
_xlpm.COEFF))</f>
        <v/>
      </c>
      <c r="BI22" s="68">
        <f t="array" ref="BI22">
_xlfn.LET(_xlpm.COEFF,
IF($AW22+$AX22=0,0,IF(MAX(MIN($AX22,EOMONTH(BI$15,0))-MAX($AW22,BI$15)+1,)&gt;0,1,0)),
_xlfn.IFS(
$ES22="LisChannel",
_xlpm.COEFF*
INDEX({1;1;1.2;1.2;1;1;1;1;1.2;1.2;1.2;1.2},
MATCH(MONTH(BI$15),
{1,2,3,4,5,6,7,8,9,10,11,12})),
CONCATENATE($ES22," ",$L22)="RussOutdoor метро",
_xlpm.COEFF*
INDEX({0.8;0.9;1.1;1.1;1;1;1;1;1.1;1.1;1.1;1.1},
MATCH(MONTH(BI$15),
{1,2,3,4,5,6,7,8,9,10,11,12})),
$ES22&lt;&gt;"LisChannel",
_xlpm.COEFF,
$ES22&lt;&gt;"RussOutdoor",
_xlpm.COEFF))</f>
        <v/>
      </c>
      <c r="BJ22" s="68">
        <f t="array" ref="BJ22">
_xlfn.LET(_xlpm.COEFF,
IF($AW22+$AX22=0,0,IF(MAX(MIN($AX22,EOMONTH(BJ$15,0))-MAX($AW22,BJ$15)+1,)&gt;0,1,0)),
_xlfn.IFS(
$ES22="LisChannel",
_xlpm.COEFF*
INDEX({1;1;1.2;1.2;1;1;1;1;1.2;1.2;1.2;1.2},
MATCH(MONTH(BJ$15),
{1,2,3,4,5,6,7,8,9,10,11,12})),
CONCATENATE($ES22," ",$L22)="RussOutdoor метро",
_xlpm.COEFF*
INDEX({0.8;0.9;1.1;1.1;1;1;1;1;1.1;1.1;1.1;1.1},
MATCH(MONTH(BJ$15),
{1,2,3,4,5,6,7,8,9,10,11,12})),
$ES22&lt;&gt;"LisChannel",
_xlpm.COEFF,
$ES22&lt;&gt;"RussOutdoor",
_xlpm.COEFF))</f>
        <v/>
      </c>
      <c r="BK22" s="68">
        <f t="array" ref="BK22">
_xlfn.LET(_xlpm.COEFF,
IF($AW22+$AX22=0,0,IF(MAX(MIN($AX22,EOMONTH(BK$15,0))-MAX($AW22,BK$15)+1,)&gt;0,1,0)),
_xlfn.IFS(
$ES22="LisChannel",
_xlpm.COEFF*
INDEX({1;1;1.2;1.2;1;1;1;1;1.2;1.2;1.2;1.2},
MATCH(MONTH(BK$15),
{1,2,3,4,5,6,7,8,9,10,11,12})),
CONCATENATE($ES22," ",$L22)="RussOutdoor метро",
_xlpm.COEFF*
INDEX({0.8;0.9;1.1;1.1;1;1;1;1;1.1;1.1;1.1;1.1},
MATCH(MONTH(BK$15),
{1,2,3,4,5,6,7,8,9,10,11,12})),
$ES22&lt;&gt;"LisChannel",
_xlpm.COEFF,
$ES22&lt;&gt;"RussOutdoor",
_xlpm.COEFF))</f>
        <v/>
      </c>
      <c r="BL22" s="62">
        <f>COUNTIFS($AZ22:$BK22,"&gt;0")</f>
        <v/>
      </c>
      <c r="BM22" s="65" t="n"/>
      <c r="BN22" s="121">
        <f>$DJ22</f>
        <v/>
      </c>
      <c r="BO22" s="63">
        <f>$DQ22</f>
        <v/>
      </c>
      <c r="BP22" s="121">
        <f>
IFERROR(
IF($BL22=0,0,
$BN22*(1-$BO22)),
0)</f>
        <v/>
      </c>
      <c r="BQ22" s="121">
        <f t="array" ref="BQ22">
IFERROR(
_xlfn.IFS(
$DH22="день_1",
$BP22*$BL22/($AX22-$AW22+1)*AZ22*(DAY(EOMONTH(AZ$15,0))),
$DH22="день_2",
$BP22/30*MAX(MIN($AX22,EOMONTH(AZ$15,0))-MAX($AW22,AZ$15)+1,),
$DH22="раб.день",
$BP22/30*(IFERROR(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$BP22*AZ22,
$DH22="неделя",
$BP22*AZ22/7*(ROUNDUP((DAY(EOMONTH(AZ$15,0)))/4,0))),
0)</f>
        <v/>
      </c>
      <c r="BR22" s="121">
        <f t="array" ref="BR22">
IFERROR(
_xlfn.IFS(
$DH22="день_1",
$BP22*$BL22/($AX22-$AW22+1)*BA22*(DAY(EOMONTH(BA$15,0))),
$DH22="день_2",
$BP22/30*MAX(MIN($AX22,EOMONTH(BA$15,0))-MAX($AW22,BA$15)+1,),
$DH22="раб.день",
$BP22/30*(IFERROR(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$BP22*BA22,
$DH22="неделя",
$BP22*BA22/7*(ROUNDUP((DAY(EOMONTH(BA$15,0)))/4,0))),
0)</f>
        <v/>
      </c>
      <c r="BS22" s="121">
        <f t="array" ref="BS22">
IFERROR(
_xlfn.IFS(
$DH22="день_1",
$BP22*$BL22/($AX22-$AW22+1)*BB22*(DAY(EOMONTH(BB$15,0))),
$DH22="день_2",
$BP22/30*MAX(MIN($AX22,EOMONTH(BB$15,0))-MAX($AW22,BB$15)+1,),
$DH22="раб.день",
$BP22/30*(IFERROR(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$BP22*BB22,
$DH22="неделя",
$BP22*BB22/7*(ROUNDUP((DAY(EOMONTH(BB$15,0)))/4,0))),
0)</f>
        <v/>
      </c>
      <c r="BT22" s="121">
        <f t="array" ref="BT22">
IFERROR(
_xlfn.IFS(
$DH22="день_1",
$BP22*$BL22/($AX22-$AW22+1)*BC22*(DAY(EOMONTH(BC$15,0))),
$DH22="день_2",
$BP22/30*MAX(MIN($AX22,EOMONTH(BC$15,0))-MAX($AW22,BC$15)+1,),
$DH22="раб.день",
$BP22/30*(IFERROR(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$BP22*BC22,
$DH22="неделя",
$BP22*BC22/7*(ROUNDUP((DAY(EOMONTH(BC$15,0)))/4,0))),
0)</f>
        <v/>
      </c>
      <c r="BU22" s="121">
        <f t="array" ref="BU22">
IFERROR(
_xlfn.IFS(
$DH22="день_1",
$BP22*$BL22/($AX22-$AW22+1)*BD22*(DAY(EOMONTH(BD$15,0))),
$DH22="день_2",
$BP22/30*MAX(MIN($AX22,EOMONTH(BD$15,0))-MAX($AW22,BD$15)+1,),
$DH22="раб.день",
$BP22/30*(IFERROR(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$BP22*BD22,
$DH22="неделя",
$BP22*BD22/7*(ROUNDUP((DAY(EOMONTH(BD$15,0)))/4,0))),
0)</f>
        <v/>
      </c>
      <c r="BV22" s="121">
        <f t="array" ref="BV22">
IFERROR(
_xlfn.IFS(
$DH22="день_1",
$BP22*$BL22/($AX22-$AW22+1)*BE22*(DAY(EOMONTH(BE$15,0))),
$DH22="день_2",
$BP22/30*MAX(MIN($AX22,EOMONTH(BE$15,0))-MAX($AW22,BE$15)+1,),
$DH22="раб.день",
$BP22/30*(IFERROR(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$BP22*BE22,
$DH22="неделя",
$BP22*BE22/7*(ROUNDUP((DAY(EOMONTH(BE$15,0)))/4,0))),
0)</f>
        <v/>
      </c>
      <c r="BW22" s="121">
        <f t="array" ref="BW22">
IFERROR(
_xlfn.IFS(
$DH22="день_1",
$BP22*$BL22/($AX22-$AW22+1)*BF22*(DAY(EOMONTH(BF$15,0))),
$DH22="день_2",
$BP22/30*MAX(MIN($AX22,EOMONTH(BF$15,0))-MAX($AW22,BF$15)+1,),
$DH22="раб.день",
$BP22/30*(IFERROR(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$BP22*BF22,
$DH22="неделя",
$BP22*BF22/7*(ROUNDUP((DAY(EOMONTH(BF$15,0)))/4,0))),
0)</f>
        <v/>
      </c>
      <c r="BX22" s="121">
        <f t="array" ref="BX22">
IFERROR(
_xlfn.IFS(
$DH22="день_1",
$BP22*$BL22/($AX22-$AW22+1)*BG22*(DAY(EOMONTH(BG$15,0))),
$DH22="день_2",
$BP22/30*MAX(MIN($AX22,EOMONTH(BG$15,0))-MAX($AW22,BG$15)+1,),
$DH22="раб.день",
$BP22/30*(IFERROR(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$BP22*BG22,
$DH22="неделя",
$BP22*BG22/7*(ROUNDUP((DAY(EOMONTH(BG$15,0)))/4,0))),
0)</f>
        <v/>
      </c>
      <c r="BY22" s="121">
        <f t="array" ref="BY22">
IFERROR(
_xlfn.IFS(
$DH22="день_1",
$BP22*$BL22/($AX22-$AW22+1)*BH22*(DAY(EOMONTH(BH$15,0))),
$DH22="день_2",
$BP22/30*MAX(MIN($AX22,EOMONTH(BH$15,0))-MAX($AW22,BH$15)+1,),
$DH22="раб.день",
$BP22/30*(IFERROR(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$BP22*BH22,
$DH22="неделя",
$BP22*BH22/7*(ROUNDUP((DAY(EOMONTH(BH$15,0)))/4,0))),
0)</f>
        <v/>
      </c>
      <c r="BZ22" s="121">
        <f t="array" ref="BZ22">
IFERROR(
_xlfn.IFS(
$DH22="день_1",
$BP22*$BL22/($AX22-$AW22+1)*BI22*(DAY(EOMONTH(BI$15,0))),
$DH22="день_2",
$BP22/30*MAX(MIN($AX22,EOMONTH(BI$15,0))-MAX($AW22,BI$15)+1,),
$DH22="раб.день",
$BP22/30*(IFERROR(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$BP22*BI22,
$DH22="неделя",
$BP22*BI22/7*(ROUNDUP((DAY(EOMONTH(BI$15,0)))/4,0))),
0)</f>
        <v/>
      </c>
      <c r="CA22" s="121">
        <f t="array" ref="CA22">
IFERROR(
_xlfn.IFS(
$DH22="день_1",
$BP22*$BL22/($AX22-$AW22+1)*BJ22*(DAY(EOMONTH(BJ$15,0))),
$DH22="день_2",
$BP22/30*MAX(MIN($AX22,EOMONTH(BJ$15,0))-MAX($AW22,BJ$15)+1,),
$DH22="раб.день",
$BP22/30*(IFERROR(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$BP22*BJ22,
$DH22="неделя",
$BP22*BJ22/7*(ROUNDUP((DAY(EOMONTH(BJ$15,0)))/4,0))),
0)</f>
        <v/>
      </c>
      <c r="CB22" s="121">
        <f t="array" ref="CB22">
IFERROR(
_xlfn.IFS(
$DH22="день_1",
$BP22*$BL22/($AX22-$AW22+1)*BK22*(DAY(EOMONTH(BK$15,0))),
$DH22="день_2",
$BP22/30*MAX(MIN($AX22,EOMONTH(BK$15,0))-MAX($AW22,BK$15)+1,),
$DH22="раб.день",
$BP22/30*(IFERROR(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$BP22*BK22,
$DH22="неделя",
$BP22*BK22/7*(ROUNDUP((DAY(EOMONTH(BK$15,0)))/4,0))),
0)</f>
        <v/>
      </c>
      <c r="CC22" s="121">
        <f>SUM($BQ22:$CB22)</f>
        <v/>
      </c>
      <c r="CD22" s="122">
        <f>SUM($EH22:$EH22)</f>
        <v/>
      </c>
      <c r="CE22" s="122">
        <f>$CD22*$AB22</f>
        <v/>
      </c>
      <c r="CF22" s="122">
        <f>SUM($EK22:$EK22)</f>
        <v/>
      </c>
      <c r="CG22" s="122">
        <f>$CF22*$AB22</f>
        <v/>
      </c>
      <c r="CH22" s="122">
        <f>SUM($CC22,$CE22,$CG22)</f>
        <v/>
      </c>
      <c r="CI22" s="122">
        <f>$CH22*(1+$CM22)</f>
        <v/>
      </c>
      <c r="CJ22" s="123" t="n">
        <v>0</v>
      </c>
      <c r="CK22" s="122">
        <f>SUM($CH22:$CH22)*(1+$CJ22)</f>
        <v/>
      </c>
      <c r="CL22" s="122">
        <f>SUM($CH22:$CH22)*(1+$CM22)</f>
        <v/>
      </c>
      <c r="CM22" s="59" t="n"/>
      <c r="CN22" s="59" t="n"/>
      <c r="CO22" s="72" t="n"/>
      <c r="CP22" s="59" t="n"/>
      <c r="CQ22" s="73" t="n"/>
      <c r="CR22" s="73" t="n"/>
      <c r="CS22" s="73" t="n"/>
      <c r="CT22" s="72" t="n"/>
      <c r="CU22" s="79" t="inlineStr">
        <is>
          <t> </t>
        </is>
      </c>
      <c r="CV22" s="60" t="n"/>
      <c r="CW22" s="60" t="n"/>
      <c r="CX22" s="60" t="n"/>
      <c r="CY22" s="123">
        <f>IFERROR(($CC22-$EE22)/($EE22/(1-$DQ22)),0)</f>
        <v/>
      </c>
      <c r="CZ22" s="123">
        <f>IFERROR(1-$EI22/($CE22),0)</f>
        <v/>
      </c>
      <c r="DA22" s="123">
        <f>IFERROR(1-$EL22/($CG22),0)</f>
        <v/>
      </c>
      <c r="DB22" s="122">
        <f>ROUND(IFERROR(($CI22/(1+$CM22)-$EN22),0),2)</f>
        <v/>
      </c>
      <c r="DC22" s="124" t="n"/>
      <c r="DD22" s="121" t="n"/>
      <c r="DE22" s="75" t="n">
        <v>0</v>
      </c>
      <c r="DF22" s="124" t="n"/>
      <c r="DG22" s="121">
        <f>IF($DC22=0,0,$DD22*($DC22*100%-$DE22*$DF22))*SUM($AB22:$AB22)</f>
        <v/>
      </c>
      <c r="DH22" s="125" t="inlineStr">
        <is>
          <t>месяц</t>
        </is>
      </c>
      <c r="DI22" s="126">
        <f t="array" ref="DI22">IFERROR(
IF($ES22="LisChannel",
(ROUND(((INDEX({174.625;153.888888888889;130.972222222222},MATCH($AI22,{2;3;4}),0))*$AG22*$AI22),2)),0),0)</f>
        <v/>
      </c>
      <c r="DJ22" s="126">
        <f>
_xlfn.LET(_xlpm.X,
IFERROR(
IF($ES22="НовиковТВ",
(_xlfn.LET(_xlpm.NTV,
_xlfn.LET(_xlpm.MIN,350000,
IF(SUMIFS($DI:$DI,$ES:$ES,"НовиковТВ")&lt;=_xlpm.MIN,
(SUMIFS($DI:$DI,$ES:$ES,"НовиковТВ")/(COUNTIFS($ES:$ES,"НовиковТВ")))*_xlpm.MIN/SUMIFS($DI:$DI,$ES:$ES,"НовиковТВ"),
DI22)),
_xlpm.NTV+$DG22/(1-(1-(_xlpm.NTV)*(1-$DL22)*(1-$DM22)*(1-$DN22)*(1-$DO22)*(1-$DP22)/_xlpm.NTV))))/(1+$EP22),
$DI22+$DG22/(1-(1-($DI22)*(1-$DL22)*(1-$DM22)*(1-$DN22)*(1-$DO22)*(1-$DP22)/$DI22))),
0),
_xlpm.X*(1+$CM22)*(1+$CW22)-_xlpm.X*(1+$CM22)+_xlpm.X)</f>
        <v/>
      </c>
      <c r="DK22" s="121" t="inlineStr">
        <is>
          <t>послед.</t>
        </is>
      </c>
      <c r="DL22" s="63" t="n">
        <v>0</v>
      </c>
      <c r="DM22" s="63" t="n">
        <v>0</v>
      </c>
      <c r="DN22" s="63" t="n">
        <v>0</v>
      </c>
      <c r="DO22" s="63" t="n">
        <v>0</v>
      </c>
      <c r="DP22" s="63" t="n">
        <v>0</v>
      </c>
      <c r="DQ22" s="63">
        <f t="array" ref="DQ22">IFERROR(_xlfn.IFS(
$DK22="послед.",1-(1-$DL22)*(1-$DM22)*(1-$DN22)*(1-$DO22)*(1-$DP22),
$DK22="сумм.",$DL22+$DM22+$DN22+$DO22+$DP22),
0)</f>
        <v/>
      </c>
      <c r="DR22" s="121">
        <f t="array" ref="DR22">
IFERROR(
_xlfn.IFS(
$BL22=0,
0,
$BL22&gt;0,
_xlfn.IFS($DK22="послед.",
$DJ22*(1-$DL22)*(1-$DM22)*(1-$DN22)*(1-$DO22)*(1-$DP22),
$DK22="сумм.",
$DJ22*(1-($DL22+$DM22+$DN22+$DO22+$DP22)))),0)</f>
        <v/>
      </c>
      <c r="DS22" s="121">
        <f t="array" ref="DS22">
IFERROR(_xlfn.IFS(
$DH22="день_1",
$DR22*$BL22/($AX22-$AW22+1)*AZ22*(DAY(EOMONTH(AZ$15,0))),
$DH22="день_2",
$DR22/30*MAX(MIN($AX22,EOMONTH(AZ$15,0))-MAX($AW22,AZ$15)+1,),
$DH22="раб.день",
$DR22/30*(IFERROR(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$DR22*AZ22,
$DH22="неделя",
$DR22*AZ22/7*(ROUNDUP((DAY(EOMONTH(AZ$15,0)))/4,0))),
0)</f>
        <v/>
      </c>
      <c r="DT22" s="121">
        <f t="array" ref="DT22">
IFERROR(_xlfn.IFS(
$DH22="день_1",
$DR22*$BL22/($AX22-$AW22+1)*BA22*(DAY(EOMONTH(BA$15,0))),
$DH22="день_2",
$DR22/30*MAX(MIN($AX22,EOMONTH(BA$15,0))-MAX($AW22,BA$15)+1,),
$DH22="раб.день",
$DR22/30*(IFERROR(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$DR22*BA22,
$DH22="неделя",
$DR22*BA22/7*(ROUNDUP((DAY(EOMONTH(BA$15,0)))/4,0))),
0)</f>
        <v/>
      </c>
      <c r="DU22" s="121">
        <f t="array" ref="DU22">
IFERROR(_xlfn.IFS(
$DH22="день_1",
$DR22*$BL22/($AX22-$AW22+1)*BB22*(DAY(EOMONTH(BB$15,0))),
$DH22="день_2",
$DR22/30*MAX(MIN($AX22,EOMONTH(BB$15,0))-MAX($AW22,BB$15)+1,),
$DH22="раб.день",
$DR22/30*(IFERROR(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$DR22*BB22,
$DH22="неделя",
$DR22*BB22/7*(ROUNDUP((DAY(EOMONTH(BB$15,0)))/4,0))),
0)</f>
        <v/>
      </c>
      <c r="DV22" s="121">
        <f t="array" ref="DV22">
IFERROR(_xlfn.IFS(
$DH22="день_1",
$DR22*$BL22/($AX22-$AW22+1)*BC22*(DAY(EOMONTH(BC$15,0))),
$DH22="день_2",
$DR22/30*MAX(MIN($AX22,EOMONTH(BC$15,0))-MAX($AW22,BC$15)+1,),
$DH22="раб.день",
$DR22/30*(IFERROR(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$DR22*BC22,
$DH22="неделя",
$DR22*BC22/7*(ROUNDUP((DAY(EOMONTH(BC$15,0)))/4,0))),
0)</f>
        <v/>
      </c>
      <c r="DW22" s="121">
        <f t="array" ref="DW22">
IFERROR(_xlfn.IFS(
$DH22="день_1",
$DR22*$BL22/($AX22-$AW22+1)*BD22*(DAY(EOMONTH(BD$15,0))),
$DH22="день_2",
$DR22/30*MAX(MIN($AX22,EOMONTH(BD$15,0))-MAX($AW22,BD$15)+1,),
$DH22="раб.день",
$DR22/30*(IFERROR(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$DR22*BD22,
$DH22="неделя",
$DR22*BD22/7*(ROUNDUP((DAY(EOMONTH(BD$15,0)))/4,0))),
0)</f>
        <v/>
      </c>
      <c r="DX22" s="121">
        <f t="array" ref="DX22">
IFERROR(_xlfn.IFS(
$DH22="день_1",
$DR22*$BL22/($AX22-$AW22+1)*BE22*(DAY(EOMONTH(BE$15,0))),
$DH22="день_2",
$DR22/30*MAX(MIN($AX22,EOMONTH(BE$15,0))-MAX($AW22,BE$15)+1,),
$DH22="раб.день",
$DR22/30*(IFERROR(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$DR22*BE22,
$DH22="неделя",
$DR22*BE22/7*(ROUNDUP((DAY(EOMONTH(BE$15,0)))/4,0))),
0)</f>
        <v/>
      </c>
      <c r="DY22" s="121">
        <f t="array" ref="DY22">
IFERROR(_xlfn.IFS(
$DH22="день_1",
$DR22*$BL22/($AX22-$AW22+1)*BF22*(DAY(EOMONTH(BF$15,0))),
$DH22="день_2",
$DR22/30*MAX(MIN($AX22,EOMONTH(BF$15,0))-MAX($AW22,BF$15)+1,),
$DH22="раб.день",
$DR22/30*(IFERROR(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$DR22*BF22,
$DH22="неделя",
$DR22*BF22/7*(ROUNDUP((DAY(EOMONTH(BF$15,0)))/4,0))),
0)</f>
        <v/>
      </c>
      <c r="DZ22" s="121">
        <f t="array" ref="DZ22">
IFERROR(_xlfn.IFS(
$DH22="день_1",
$DR22*$BL22/($AX22-$AW22+1)*BG22*(DAY(EOMONTH(BG$15,0))),
$DH22="день_2",
$DR22/30*MAX(MIN($AX22,EOMONTH(BG$15,0))-MAX($AW22,BG$15)+1,),
$DH22="раб.день",
$DR22/30*(IFERROR(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$DR22*BG22,
$DH22="неделя",
$DR22*BG22/7*(ROUNDUP((DAY(EOMONTH(BG$15,0)))/4,0))),
0)</f>
        <v/>
      </c>
      <c r="EA22" s="121">
        <f t="array" ref="EA22">
IFERROR(_xlfn.IFS(
$DH22="день_1",
$DR22*$BL22/($AX22-$AW22+1)*BH22*(DAY(EOMONTH(BH$15,0))),
$DH22="день_2",
$DR22/30*MAX(MIN($AX22,EOMONTH(BH$15,0))-MAX($AW22,BH$15)+1,),
$DH22="раб.день",
$DR22/30*(IFERROR(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$DR22*BH22,
$DH22="неделя",
$DR22*BH22/7*(ROUNDUP((DAY(EOMONTH(BH$15,0)))/4,0))),
0)</f>
        <v/>
      </c>
      <c r="EB22" s="121">
        <f t="array" ref="EB22">
IFERROR(_xlfn.IFS(
$DH22="день_1",
$DR22*$BL22/($AX22-$AW22+1)*BI22*(DAY(EOMONTH(BI$15,0))),
$DH22="день_2",
$DR22/30*MAX(MIN($AX22,EOMONTH(BI$15,0))-MAX($AW22,BI$15)+1,),
$DH22="раб.день",
$DR22/30*(IFERROR(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$DR22*BI22,
$DH22="неделя",
$DR22*BI22/7*(ROUNDUP((DAY(EOMONTH(BI$15,0)))/4,0))),
0)</f>
        <v/>
      </c>
      <c r="EC22" s="121">
        <f t="array" ref="EC22">
IFERROR(_xlfn.IFS(
$DH22="день_1",
$DR22*$BL22/($AX22-$AW22+1)*BJ22*(DAY(EOMONTH(BJ$15,0))),
$DH22="день_2",
$DR22/30*MAX(MIN($AX22,EOMONTH(BJ$15,0))-MAX($AW22,BJ$15)+1,),
$DH22="раб.день",
$DR22/30*(IFERROR(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$DR22*BJ22,
$DH22="неделя",
$DR22*BJ22/7*(ROUNDUP((DAY(EOMONTH(BJ$15,0)))/4,0))),
0)</f>
        <v/>
      </c>
      <c r="ED22" s="121">
        <f t="array" ref="ED22">
IFERROR(_xlfn.IFS(
$DH22="день_1",
$DR22*$BL22/($AX22-$AW22+1)*BK22*(DAY(EOMONTH(BK$15,0))),
$DH22="день_2",
$DR22/30*MAX(MIN($AX22,EOMONTH(BK$15,0))-MAX($AW22,BK$15)+1,),
$DH22="раб.день",
$DR22/30*(IFERROR(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$DR22*BK22,
$DH22="неделя",
$DR22*BK22/7*(ROUNDUP((DAY(EOMONTH(BK$15,0)))/4,0))),
0)</f>
        <v/>
      </c>
      <c r="EE22" s="121">
        <f>SUM($DS22,$DT22,$DU22,$DV22,$DW22,$DX22,$DY22,$DZ22,$EA22,$EB22,$EC22,$ED22)</f>
        <v/>
      </c>
      <c r="EF22" s="121">
        <f>IFERROR(ROUND($EE22*(1+$EP22),2),0)</f>
        <v/>
      </c>
      <c r="EG22" s="124" t="n">
        <v>1</v>
      </c>
      <c r="EH22" s="122" t="n">
        <v>0</v>
      </c>
      <c r="EI22" s="122">
        <f>ROUND(SUM($EH22:$EH22)*SUM($AB22:$AB22)*$EG22,2)</f>
        <v/>
      </c>
      <c r="EJ22" s="122">
        <f>ROUND($EI22*(1+$EP22),2)</f>
        <v/>
      </c>
      <c r="EK22" s="122" t="n">
        <v>0</v>
      </c>
      <c r="EL22" s="122">
        <f>ROUND(SUM($EK22:$EK22)*SUM($AB22:$AB22)*$EG22,2)</f>
        <v/>
      </c>
      <c r="EM22" s="122">
        <f>ROUND($EL22*(1+$EP22),2)</f>
        <v/>
      </c>
      <c r="EN22" s="122">
        <f>SUM($EE22,$EI22,$EL22)</f>
        <v/>
      </c>
      <c r="EO22" s="122">
        <f>SUM($EF22,$EJ22,$EM22)</f>
        <v/>
      </c>
      <c r="EP22" s="59" t="n"/>
      <c r="EQ22" s="59" t="n"/>
      <c r="ER22" s="60">
        <f t="array" ref="ER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MATCH(ES22,
{"AMS";"RussOutdoor";"HD Outdoor";"Ingroup";"IQ";"Ledproduction";"LisChannel";"Logic";"Media-PPL";"NovikovTV | НовиковТВ";"SMA";"SOK";"КрокусТВ | CrocusTV | IndoorTV";"Сити";"ТЯК Москва"},
0)),"")</f>
        <v/>
      </c>
      <c r="ES22" s="60" t="n"/>
      <c r="ET22" s="60">
        <f t="array" ref="ET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MATCH(ES22,
{"AMS";"RussOutdoor";"HD Outdoor";"Ingroup";"IQ";"Ledproduction";"LisChannel";"Logic";"Media-PPL";"NovikovTV | НовиковТВ";"SMA";"SOK";"КрокусТВ | CrocusTV | IndoorTV";"Сити";"ТЯК Москва"},
0)),"")</f>
        <v/>
      </c>
      <c r="EU22" s="60" t="n"/>
      <c r="EV22" s="60" t="n"/>
      <c r="EW22" t="inlineStr">
        <is>
          <t> </t>
        </is>
      </c>
    </row>
    <row r="23">
      <c r="A23" s="59" t="n"/>
      <c r="B23" s="60" t="n"/>
      <c r="C23" s="60" t="n"/>
      <c r="D23" s="60">
        <f t="array" ref="D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3" s="60">
        <f t="array" ref="E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3" s="60" t="inlineStr"/>
      <c r="G23" s="60" t="n"/>
      <c r="H23" s="60">
        <f t="array" ref="H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3" s="60" t="n"/>
      <c r="J23" s="60" t="n"/>
      <c r="K23" s="60" t="n"/>
      <c r="L23" s="60" t="n"/>
      <c r="M23" s="60" t="n"/>
      <c r="N23" s="60" t="n"/>
      <c r="O23" s="60" t="n"/>
      <c r="P23" s="60">
        <f t="array" ref="P23">
_xlfn.IFS(
ISNUMBER(MATCH($Q23,{"шелфбаннер","разделитель","монетница","чековая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ISNUMBER(MATCH($Q23,{"каталог","журнал"},)),
"Пресса",
$Q23="","")</f>
        <v/>
      </c>
      <c r="Q23" s="60" t="n"/>
      <c r="R23" s="60">
        <f t="array" ref="R23">
IFERROR(
_xlfn.IFS(
OR(ISNUMBER(MATCH($Q23,{"экспозиция","макет","стенд","автостенд","авто стенд","выставочное пространство","выставочные стенды","модульные выставочные стенды","3Д конструкция","3D конструкция"},)),P23="Экспонирование"),
"нестандартный",
ISNUMBER(MATCH($Q23,{"скроллер","призматрон"},)),
"динамический",
$P23="Видео",
"цифровой",
OR($P23="Пресса",$P23="Щит",$P23="POSm",$P23="Подвес",$P23="Брендирование/оклейка"),
"статический"),"")</f>
        <v/>
      </c>
      <c r="S23" s="59" t="n"/>
      <c r="T23" s="60" t="n"/>
      <c r="U23" s="60" t="n"/>
      <c r="V23" s="60">
        <f>
IF(P23="Видео",
"цифровой постер/ролик",
IF(ISNUMBER(MATCH(Q23,{"короб световой","короб световой | лайтбокс","короб световой | кристалайт","лайтбокс","лайт бокс","кристалайт","LB","lightbox"},)),
"бэклит",
IF(P23="Брендирование/оклейка",
"перфарированная пленка/самоклейка",
IF(P23="Экспонирование",
"под запрос",
IF(P23="Подвес",
"баннер/ткань",
"")))))</f>
        <v/>
      </c>
      <c r="W23" s="59" t="n"/>
      <c r="X23" s="59" t="n"/>
      <c r="Y23" s="59" t="n"/>
      <c r="Z23" s="61" t="n"/>
      <c r="AA23" s="61" t="n"/>
      <c r="AB23" s="61">
        <f>IF(BL23&gt;0,Z23,0)</f>
        <v/>
      </c>
      <c r="AC23" s="59" t="n"/>
      <c r="AD23" s="59" t="n"/>
      <c r="AE23" s="59" t="n"/>
      <c r="AF23" s="59" t="n"/>
      <c r="AG23" s="59" t="n"/>
      <c r="AH23" s="59" t="e">
        <v>#VALUE!</v>
      </c>
      <c r="AI23" s="59" t="n"/>
      <c r="AJ23" s="59" t="n"/>
      <c r="AK23" s="59" t="n"/>
      <c r="AL23" s="62">
        <f>IFERROR(IF(OR(R23="статический",R23="динамический",R23="нестандартный",R23="",R23=""),"-",IF(AND(AH23="-",AI23="-"),"-",AK23*3600/AH23*AI23)),"-")</f>
        <v/>
      </c>
      <c r="AM23" s="62">
        <f>IFERROR(IF(OR(R23="статический",R23="динамический",R23="",R23="", R23="BTL",R23="нестандартный"),"-",AG23*AI23*AL23/60),"-")</f>
        <v/>
      </c>
      <c r="AN23" s="63">
        <f>IFERROR(IF(AH23="","-",AG23*AI23/AH23),"-")</f>
        <v/>
      </c>
      <c r="AO23" s="59">
        <f>IFERROR(IF(OR($R23="статический",$R23="динамический",$R23="",$R23="",$R23="BTL",$R23="нестандартный"),"-",$AL23*$AY23),"-")</f>
        <v/>
      </c>
      <c r="AP23" s="62">
        <f>IFERROR(IF(OR($R23="статический",$R23="динамический",$R23="",$R23="",$R23="BTL",$R23="нестандартный"),"-",$AM23*AY23),"-")</f>
        <v/>
      </c>
      <c r="AQ23" s="64" t="n"/>
      <c r="AR23" s="61" t="n"/>
      <c r="AS23" s="61" t="n"/>
      <c r="AT23" s="61" t="n"/>
      <c r="AU23" s="65" t="n"/>
      <c r="AV23" s="120">
        <f>IFERROR(DR23/AT23*1000,"n/a")</f>
        <v/>
      </c>
      <c r="AW23" s="67" t="n"/>
      <c r="AX23" s="67" t="n"/>
      <c r="AY23" s="43">
        <f>IFERROR(IF(OR($AW23="",$AX23=""),"",_xlfn.DAYS($AX23+1,$AW23)),"")</f>
        <v/>
      </c>
      <c r="AZ23" s="68">
        <f t="array" ref="AZ23">
_xlfn.LET(_xlpm.COEFF,
IF($AW23+$AX23=0,0,IF(MAX(MIN($AX23,EOMONTH(AZ$15,0))-MAX($AW23,AZ$15)+1,)&gt;0,1,0)),
_xlfn.IFS(
$ES23="LisChannel",
_xlpm.COEFF*
INDEX({1;1;1.2;1.2;1;1;1;1;1.2;1.2;1.2;1.2},
MATCH(MONTH(AZ$15),
{1,2,3,4,5,6,7,8,9,10,11,12})),
CONCATENATE($ES23," ",$L23)="RussOutdoor метро",
_xlpm.COEFF*
INDEX({0.8;0.9;1.1;1.1;1;1;1;1;1.1;1.1;1.1;1.1},
MATCH(MONTH(AZ$15),
{1,2,3,4,5,6,7,8,9,10,11,12})),
$ES23&lt;&gt;"LisChannel",
_xlpm.COEFF,
$ES23&lt;&gt;"RussOutdoor",
_xlpm.COEFF))</f>
        <v/>
      </c>
      <c r="BA23" s="68">
        <f t="array" ref="BA23">
_xlfn.LET(_xlpm.COEFF,
IF($AW23+$AX23=0,0,IF(MAX(MIN($AX23,EOMONTH(BA$15,0))-MAX($AW23,BA$15)+1,)&gt;0,1,0)),
_xlfn.IFS(
$ES23="LisChannel",
_xlpm.COEFF*
INDEX({1;1;1.2;1.2;1;1;1;1;1.2;1.2;1.2;1.2},
MATCH(MONTH(BA$15),
{1,2,3,4,5,6,7,8,9,10,11,12})),
CONCATENATE($ES23," ",$L23)="RussOutdoor метро",
_xlpm.COEFF*
INDEX({0.8;0.9;1.1;1.1;1;1;1;1;1.1;1.1;1.1;1.1},
MATCH(MONTH(BA$15),
{1,2,3,4,5,6,7,8,9,10,11,12})),
$ES23&lt;&gt;"LisChannel",
_xlpm.COEFF,
$ES23&lt;&gt;"RussOutdoor",
_xlpm.COEFF))</f>
        <v/>
      </c>
      <c r="BB23" s="68">
        <f t="array" ref="BB23">
_xlfn.LET(_xlpm.COEFF,
IF($AW23+$AX23=0,0,IF(MAX(MIN($AX23,EOMONTH(BB$15,0))-MAX($AW23,BB$15)+1,)&gt;0,1,0)),
_xlfn.IFS(
$ES23="LisChannel",
_xlpm.COEFF*
INDEX({1;1;1.2;1.2;1;1;1;1;1.2;1.2;1.2;1.2},
MATCH(MONTH(BB$15),
{1,2,3,4,5,6,7,8,9,10,11,12})),
CONCATENATE($ES23," ",$L23)="RussOutdoor метро",
_xlpm.COEFF*
INDEX({0.8;0.9;1.1;1.1;1;1;1;1;1.1;1.1;1.1;1.1},
MATCH(MONTH(BB$15),
{1,2,3,4,5,6,7,8,9,10,11,12})),
$ES23&lt;&gt;"LisChannel",
_xlpm.COEFF,
$ES23&lt;&gt;"RussOutdoor",
_xlpm.COEFF))</f>
        <v/>
      </c>
      <c r="BC23" s="68">
        <f t="array" ref="BC23">
_xlfn.LET(_xlpm.COEFF,
IF($AW23+$AX23=0,0,IF(MAX(MIN($AX23,EOMONTH(BC$15,0))-MAX($AW23,BC$15)+1,)&gt;0,1,0)),
_xlfn.IFS(
$ES23="LisChannel",
_xlpm.COEFF*
INDEX({1;1;1.2;1.2;1;1;1;1;1.2;1.2;1.2;1.2},
MATCH(MONTH(BC$15),
{1,2,3,4,5,6,7,8,9,10,11,12})),
CONCATENATE($ES23," ",$L23)="RussOutdoor метро",
_xlpm.COEFF*
INDEX({0.8;0.9;1.1;1.1;1;1;1;1;1.1;1.1;1.1;1.1},
MATCH(MONTH(BC$15),
{1,2,3,4,5,6,7,8,9,10,11,12})),
$ES23&lt;&gt;"LisChannel",
_xlpm.COEFF,
$ES23&lt;&gt;"RussOutdoor",
_xlpm.COEFF))</f>
        <v/>
      </c>
      <c r="BD23" s="68">
        <f t="array" ref="BD23">
_xlfn.LET(_xlpm.COEFF,
IF($AW23+$AX23=0,0,IF(MAX(MIN($AX23,EOMONTH(BD$15,0))-MAX($AW23,BD$15)+1,)&gt;0,1,0)),
_xlfn.IFS(
$ES23="LisChannel",
_xlpm.COEFF*
INDEX({1;1;1.2;1.2;1;1;1;1;1.2;1.2;1.2;1.2},
MATCH(MONTH(BD$15),
{1,2,3,4,5,6,7,8,9,10,11,12})),
CONCATENATE($ES23," ",$L23)="RussOutdoor метро",
_xlpm.COEFF*
INDEX({0.8;0.9;1.1;1.1;1;1;1;1;1.1;1.1;1.1;1.1},
MATCH(MONTH(BD$15),
{1,2,3,4,5,6,7,8,9,10,11,12})),
$ES23&lt;&gt;"LisChannel",
_xlpm.COEFF,
$ES23&lt;&gt;"RussOutdoor",
_xlpm.COEFF))</f>
        <v/>
      </c>
      <c r="BE23" s="68">
        <f t="array" ref="BE23">
_xlfn.LET(_xlpm.COEFF,
IF($AW23+$AX23=0,0,IF(MAX(MIN($AX23,EOMONTH(BE$15,0))-MAX($AW23,BE$15)+1,)&gt;0,1,0)),
_xlfn.IFS(
$ES23="LisChannel",
_xlpm.COEFF*
INDEX({1;1;1.2;1.2;1;1;1;1;1.2;1.2;1.2;1.2},
MATCH(MONTH(BE$15),
{1,2,3,4,5,6,7,8,9,10,11,12})),
CONCATENATE($ES23," ",$L23)="RussOutdoor метро",
_xlpm.COEFF*
INDEX({0.8;0.9;1.1;1.1;1;1;1;1;1.1;1.1;1.1;1.1},
MATCH(MONTH(BE$15),
{1,2,3,4,5,6,7,8,9,10,11,12})),
$ES23&lt;&gt;"LisChannel",
_xlpm.COEFF,
$ES23&lt;&gt;"RussOutdoor",
_xlpm.COEFF))</f>
        <v/>
      </c>
      <c r="BF23" s="68">
        <f t="array" ref="BF23">
_xlfn.LET(_xlpm.COEFF,
IF($AW23+$AX23=0,0,IF(MAX(MIN($AX23,EOMONTH(BF$15,0))-MAX($AW23,BF$15)+1,)&gt;0,1,0)),
_xlfn.IFS(
$ES23="LisChannel",
_xlpm.COEFF*
INDEX({1;1;1.2;1.2;1;1;1;1;1.2;1.2;1.2;1.2},
MATCH(MONTH(BF$15),
{1,2,3,4,5,6,7,8,9,10,11,12})),
CONCATENATE($ES23," ",$L23)="RussOutdoor метро",
_xlpm.COEFF*
INDEX({0.8;0.9;1.1;1.1;1;1;1;1;1.1;1.1;1.1;1.1},
MATCH(MONTH(BF$15),
{1,2,3,4,5,6,7,8,9,10,11,12})),
$ES23&lt;&gt;"LisChannel",
_xlpm.COEFF,
$ES23&lt;&gt;"RussOutdoor",
_xlpm.COEFF))</f>
        <v/>
      </c>
      <c r="BG23" s="68">
        <f t="array" ref="BG23">
_xlfn.LET(_xlpm.COEFF,
IF($AW23+$AX23=0,0,IF(MAX(MIN($AX23,EOMONTH(BG$15,0))-MAX($AW23,BG$15)+1,)&gt;0,1,0)),
_xlfn.IFS(
$ES23="LisChannel",
_xlpm.COEFF*
INDEX({1;1;1.2;1.2;1;1;1;1;1.2;1.2;1.2;1.2},
MATCH(MONTH(BG$15),
{1,2,3,4,5,6,7,8,9,10,11,12})),
CONCATENATE($ES23," ",$L23)="RussOutdoor метро",
_xlpm.COEFF*
INDEX({0.8;0.9;1.1;1.1;1;1;1;1;1.1;1.1;1.1;1.1},
MATCH(MONTH(BG$15),
{1,2,3,4,5,6,7,8,9,10,11,12})),
$ES23&lt;&gt;"LisChannel",
_xlpm.COEFF,
$ES23&lt;&gt;"RussOutdoor",
_xlpm.COEFF))</f>
        <v/>
      </c>
      <c r="BH23" s="68">
        <f t="array" ref="BH23">
_xlfn.LET(_xlpm.COEFF,
IF($AW23+$AX23=0,0,IF(MAX(MIN($AX23,EOMONTH(BH$15,0))-MAX($AW23,BH$15)+1,)&gt;0,1,0)),
_xlfn.IFS(
$ES23="LisChannel",
_xlpm.COEFF*
INDEX({1;1;1.2;1.2;1;1;1;1;1.2;1.2;1.2;1.2},
MATCH(MONTH(BH$15),
{1,2,3,4,5,6,7,8,9,10,11,12})),
CONCATENATE($ES23," ",$L23)="RussOutdoor метро",
_xlpm.COEFF*
INDEX({0.8;0.9;1.1;1.1;1;1;1;1;1.1;1.1;1.1;1.1},
MATCH(MONTH(BH$15),
{1,2,3,4,5,6,7,8,9,10,11,12})),
$ES23&lt;&gt;"LisChannel",
_xlpm.COEFF,
$ES23&lt;&gt;"RussOutdoor",
_xlpm.COEFF))</f>
        <v/>
      </c>
      <c r="BI23" s="68">
        <f t="array" ref="BI23">
_xlfn.LET(_xlpm.COEFF,
IF($AW23+$AX23=0,0,IF(MAX(MIN($AX23,EOMONTH(BI$15,0))-MAX($AW23,BI$15)+1,)&gt;0,1,0)),
_xlfn.IFS(
$ES23="LisChannel",
_xlpm.COEFF*
INDEX({1;1;1.2;1.2;1;1;1;1;1.2;1.2;1.2;1.2},
MATCH(MONTH(BI$15),
{1,2,3,4,5,6,7,8,9,10,11,12})),
CONCATENATE($ES23," ",$L23)="RussOutdoor метро",
_xlpm.COEFF*
INDEX({0.8;0.9;1.1;1.1;1;1;1;1;1.1;1.1;1.1;1.1},
MATCH(MONTH(BI$15),
{1,2,3,4,5,6,7,8,9,10,11,12})),
$ES23&lt;&gt;"LisChannel",
_xlpm.COEFF,
$ES23&lt;&gt;"RussOutdoor",
_xlpm.COEFF))</f>
        <v/>
      </c>
      <c r="BJ23" s="68">
        <f t="array" ref="BJ23">
_xlfn.LET(_xlpm.COEFF,
IF($AW23+$AX23=0,0,IF(MAX(MIN($AX23,EOMONTH(BJ$15,0))-MAX($AW23,BJ$15)+1,)&gt;0,1,0)),
_xlfn.IFS(
$ES23="LisChannel",
_xlpm.COEFF*
INDEX({1;1;1.2;1.2;1;1;1;1;1.2;1.2;1.2;1.2},
MATCH(MONTH(BJ$15),
{1,2,3,4,5,6,7,8,9,10,11,12})),
CONCATENATE($ES23," ",$L23)="RussOutdoor метро",
_xlpm.COEFF*
INDEX({0.8;0.9;1.1;1.1;1;1;1;1;1.1;1.1;1.1;1.1},
MATCH(MONTH(BJ$15),
{1,2,3,4,5,6,7,8,9,10,11,12})),
$ES23&lt;&gt;"LisChannel",
_xlpm.COEFF,
$ES23&lt;&gt;"RussOutdoor",
_xlpm.COEFF))</f>
        <v/>
      </c>
      <c r="BK23" s="68">
        <f t="array" ref="BK23">
_xlfn.LET(_xlpm.COEFF,
IF($AW23+$AX23=0,0,IF(MAX(MIN($AX23,EOMONTH(BK$15,0))-MAX($AW23,BK$15)+1,)&gt;0,1,0)),
_xlfn.IFS(
$ES23="LisChannel",
_xlpm.COEFF*
INDEX({1;1;1.2;1.2;1;1;1;1;1.2;1.2;1.2;1.2},
MATCH(MONTH(BK$15),
{1,2,3,4,5,6,7,8,9,10,11,12})),
CONCATENATE($ES23," ",$L23)="RussOutdoor метро",
_xlpm.COEFF*
INDEX({0.8;0.9;1.1;1.1;1;1;1;1;1.1;1.1;1.1;1.1},
MATCH(MONTH(BK$15),
{1,2,3,4,5,6,7,8,9,10,11,12})),
$ES23&lt;&gt;"LisChannel",
_xlpm.COEFF,
$ES23&lt;&gt;"RussOutdoor",
_xlpm.COEFF))</f>
        <v/>
      </c>
      <c r="BL23" s="62">
        <f>COUNTIFS($AZ23:$BK23,"&gt;0")</f>
        <v/>
      </c>
      <c r="BM23" s="65" t="n"/>
      <c r="BN23" s="121">
        <f>$DJ23</f>
        <v/>
      </c>
      <c r="BO23" s="63">
        <f>$DQ23</f>
        <v/>
      </c>
      <c r="BP23" s="121">
        <f>
IFERROR(
IF($BL23=0,0,
$BN23*(1-$BO23)),
0)</f>
        <v/>
      </c>
      <c r="BQ23" s="121">
        <f t="array" ref="BQ23">
IFERROR(
_xlfn.IFS(
$DH23="день_1",
$BP23*$BL23/($AX23-$AW23+1)*AZ23*(DAY(EOMONTH(AZ$15,0))),
$DH23="день_2",
$BP23/30*MAX(MIN($AX23,EOMONTH(AZ$15,0))-MAX($AW23,AZ$15)+1,),
$DH23="раб.день",
$BP23/30*(IFERROR(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$BP23*AZ23,
$DH23="неделя",
$BP23*AZ23/7*(ROUNDUP((DAY(EOMONTH(AZ$15,0)))/4,0))),
0)</f>
        <v/>
      </c>
      <c r="BR23" s="121">
        <f t="array" ref="BR23">
IFERROR(
_xlfn.IFS(
$DH23="день_1",
$BP23*$BL23/($AX23-$AW23+1)*BA23*(DAY(EOMONTH(BA$15,0))),
$DH23="день_2",
$BP23/30*MAX(MIN($AX23,EOMONTH(BA$15,0))-MAX($AW23,BA$15)+1,),
$DH23="раб.день",
$BP23/30*(IFERROR(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$BP23*BA23,
$DH23="неделя",
$BP23*BA23/7*(ROUNDUP((DAY(EOMONTH(BA$15,0)))/4,0))),
0)</f>
        <v/>
      </c>
      <c r="BS23" s="121">
        <f t="array" ref="BS23">
IFERROR(
_xlfn.IFS(
$DH23="день_1",
$BP23*$BL23/($AX23-$AW23+1)*BB23*(DAY(EOMONTH(BB$15,0))),
$DH23="день_2",
$BP23/30*MAX(MIN($AX23,EOMONTH(BB$15,0))-MAX($AW23,BB$15)+1,),
$DH23="раб.день",
$BP23/30*(IFERROR(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$BP23*BB23,
$DH23="неделя",
$BP23*BB23/7*(ROUNDUP((DAY(EOMONTH(BB$15,0)))/4,0))),
0)</f>
        <v/>
      </c>
      <c r="BT23" s="121">
        <f t="array" ref="BT23">
IFERROR(
_xlfn.IFS(
$DH23="день_1",
$BP23*$BL23/($AX23-$AW23+1)*BC23*(DAY(EOMONTH(BC$15,0))),
$DH23="день_2",
$BP23/30*MAX(MIN($AX23,EOMONTH(BC$15,0))-MAX($AW23,BC$15)+1,),
$DH23="раб.день",
$BP23/30*(IFERROR(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$BP23*BC23,
$DH23="неделя",
$BP23*BC23/7*(ROUNDUP((DAY(EOMONTH(BC$15,0)))/4,0))),
0)</f>
        <v/>
      </c>
      <c r="BU23" s="121">
        <f t="array" ref="BU23">
IFERROR(
_xlfn.IFS(
$DH23="день_1",
$BP23*$BL23/($AX23-$AW23+1)*BD23*(DAY(EOMONTH(BD$15,0))),
$DH23="день_2",
$BP23/30*MAX(MIN($AX23,EOMONTH(BD$15,0))-MAX($AW23,BD$15)+1,),
$DH23="раб.день",
$BP23/30*(IFERROR(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$BP23*BD23,
$DH23="неделя",
$BP23*BD23/7*(ROUNDUP((DAY(EOMONTH(BD$15,0)))/4,0))),
0)</f>
        <v/>
      </c>
      <c r="BV23" s="121">
        <f t="array" ref="BV23">
IFERROR(
_xlfn.IFS(
$DH23="день_1",
$BP23*$BL23/($AX23-$AW23+1)*BE23*(DAY(EOMONTH(BE$15,0))),
$DH23="день_2",
$BP23/30*MAX(MIN($AX23,EOMONTH(BE$15,0))-MAX($AW23,BE$15)+1,),
$DH23="раб.день",
$BP23/30*(IFERROR(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$BP23*BE23,
$DH23="неделя",
$BP23*BE23/7*(ROUNDUP((DAY(EOMONTH(BE$15,0)))/4,0))),
0)</f>
        <v/>
      </c>
      <c r="BW23" s="121">
        <f t="array" ref="BW23">
IFERROR(
_xlfn.IFS(
$DH23="день_1",
$BP23*$BL23/($AX23-$AW23+1)*BF23*(DAY(EOMONTH(BF$15,0))),
$DH23="день_2",
$BP23/30*MAX(MIN($AX23,EOMONTH(BF$15,0))-MAX($AW23,BF$15)+1,),
$DH23="раб.день",
$BP23/30*(IFERROR(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$BP23*BF23,
$DH23="неделя",
$BP23*BF23/7*(ROUNDUP((DAY(EOMONTH(BF$15,0)))/4,0))),
0)</f>
        <v/>
      </c>
      <c r="BX23" s="121">
        <f t="array" ref="BX23">
IFERROR(
_xlfn.IFS(
$DH23="день_1",
$BP23*$BL23/($AX23-$AW23+1)*BG23*(DAY(EOMONTH(BG$15,0))),
$DH23="день_2",
$BP23/30*MAX(MIN($AX23,EOMONTH(BG$15,0))-MAX($AW23,BG$15)+1,),
$DH23="раб.день",
$BP23/30*(IFERROR(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$BP23*BG23,
$DH23="неделя",
$BP23*BG23/7*(ROUNDUP((DAY(EOMONTH(BG$15,0)))/4,0))),
0)</f>
        <v/>
      </c>
      <c r="BY23" s="121">
        <f t="array" ref="BY23">
IFERROR(
_xlfn.IFS(
$DH23="день_1",
$BP23*$BL23/($AX23-$AW23+1)*BH23*(DAY(EOMONTH(BH$15,0))),
$DH23="день_2",
$BP23/30*MAX(MIN($AX23,EOMONTH(BH$15,0))-MAX($AW23,BH$15)+1,),
$DH23="раб.день",
$BP23/30*(IFERROR(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$BP23*BH23,
$DH23="неделя",
$BP23*BH23/7*(ROUNDUP((DAY(EOMONTH(BH$15,0)))/4,0))),
0)</f>
        <v/>
      </c>
      <c r="BZ23" s="121">
        <f t="array" ref="BZ23">
IFERROR(
_xlfn.IFS(
$DH23="день_1",
$BP23*$BL23/($AX23-$AW23+1)*BI23*(DAY(EOMONTH(BI$15,0))),
$DH23="день_2",
$BP23/30*MAX(MIN($AX23,EOMONTH(BI$15,0))-MAX($AW23,BI$15)+1,),
$DH23="раб.день",
$BP23/30*(IFERROR(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$BP23*BI23,
$DH23="неделя",
$BP23*BI23/7*(ROUNDUP((DAY(EOMONTH(BI$15,0)))/4,0))),
0)</f>
        <v/>
      </c>
      <c r="CA23" s="121">
        <f t="array" ref="CA23">
IFERROR(
_xlfn.IFS(
$DH23="день_1",
$BP23*$BL23/($AX23-$AW23+1)*BJ23*(DAY(EOMONTH(BJ$15,0))),
$DH23="день_2",
$BP23/30*MAX(MIN($AX23,EOMONTH(BJ$15,0))-MAX($AW23,BJ$15)+1,),
$DH23="раб.день",
$BP23/30*(IFERROR(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$BP23*BJ23,
$DH23="неделя",
$BP23*BJ23/7*(ROUNDUP((DAY(EOMONTH(BJ$15,0)))/4,0))),
0)</f>
        <v/>
      </c>
      <c r="CB23" s="121">
        <f t="array" ref="CB23">
IFERROR(
_xlfn.IFS(
$DH23="день_1",
$BP23*$BL23/($AX23-$AW23+1)*BK23*(DAY(EOMONTH(BK$15,0))),
$DH23="день_2",
$BP23/30*MAX(MIN($AX23,EOMONTH(BK$15,0))-MAX($AW23,BK$15)+1,),
$DH23="раб.день",
$BP23/30*(IFERROR(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$BP23*BK23,
$DH23="неделя",
$BP23*BK23/7*(ROUNDUP((DAY(EOMONTH(BK$15,0)))/4,0))),
0)</f>
        <v/>
      </c>
      <c r="CC23" s="121">
        <f>SUM($BQ23:$CB23)</f>
        <v/>
      </c>
      <c r="CD23" s="122">
        <f>SUM($EH23:$EH23)</f>
        <v/>
      </c>
      <c r="CE23" s="122">
        <f>$CD23*$AB23</f>
        <v/>
      </c>
      <c r="CF23" s="122">
        <f>SUM($EK23:$EK23)</f>
        <v/>
      </c>
      <c r="CG23" s="122">
        <f>$CF23*$AB23</f>
        <v/>
      </c>
      <c r="CH23" s="122">
        <f>SUM($CC23,$CE23,$CG23)</f>
        <v/>
      </c>
      <c r="CI23" s="122">
        <f>$CH23*(1+$CM23)</f>
        <v/>
      </c>
      <c r="CJ23" s="123" t="n">
        <v>0</v>
      </c>
      <c r="CK23" s="122">
        <f>SUM($CH23:$CH23)*(1+$CJ23)</f>
        <v/>
      </c>
      <c r="CL23" s="122">
        <f>SUM($CH23:$CH23)*(1+$CM23)</f>
        <v/>
      </c>
      <c r="CM23" s="59" t="n"/>
      <c r="CN23" s="59" t="n"/>
      <c r="CO23" s="72" t="n"/>
      <c r="CP23" s="59" t="n"/>
      <c r="CQ23" s="73" t="n"/>
      <c r="CR23" s="73" t="n"/>
      <c r="CS23" s="73" t="n"/>
      <c r="CT23" s="72" t="n"/>
      <c r="CU23" s="79" t="inlineStr">
        <is>
          <t> </t>
        </is>
      </c>
      <c r="CV23" s="60" t="n"/>
      <c r="CW23" s="60" t="n"/>
      <c r="CX23" s="60" t="n"/>
      <c r="CY23" s="123">
        <f>IFERROR(($CC23-$EE23)/($EE23/(1-$DQ23)),0)</f>
        <v/>
      </c>
      <c r="CZ23" s="123">
        <f>IFERROR(1-$EI23/($CE23),0)</f>
        <v/>
      </c>
      <c r="DA23" s="123">
        <f>IFERROR(1-$EL23/($CG23),0)</f>
        <v/>
      </c>
      <c r="DB23" s="122">
        <f>ROUND(IFERROR(($CI23/(1+$CM23)-$EN23),0),2)</f>
        <v/>
      </c>
      <c r="DC23" s="124" t="n"/>
      <c r="DD23" s="121" t="n"/>
      <c r="DE23" s="75" t="n">
        <v>0</v>
      </c>
      <c r="DF23" s="124" t="n"/>
      <c r="DG23" s="121">
        <f>IF($DC23=0,0,$DD23*($DC23*100%-$DE23*$DF23))*SUM($AB23:$AB23)</f>
        <v/>
      </c>
      <c r="DH23" s="125" t="inlineStr">
        <is>
          <t>месяц</t>
        </is>
      </c>
      <c r="DI23" s="126">
        <f t="array" ref="DI23">IFERROR(
IF($ES23="LisChannel",
(ROUND(((INDEX({174.625;153.888888888889;130.972222222222},MATCH($AI23,{2;3;4}),0))*$AG23*$AI23),2)),0),0)</f>
        <v/>
      </c>
      <c r="DJ23" s="126">
        <f>
_xlfn.LET(_xlpm.X,
IFERROR(
IF($ES23="НовиковТВ",
(_xlfn.LET(_xlpm.NTV,
_xlfn.LET(_xlpm.MIN,350000,
IF(SUMIFS($DI:$DI,$ES:$ES,"НовиковТВ")&lt;=_xlpm.MIN,
(SUMIFS($DI:$DI,$ES:$ES,"НовиковТВ")/(COUNTIFS($ES:$ES,"НовиковТВ")))*_xlpm.MIN/SUMIFS($DI:$DI,$ES:$ES,"НовиковТВ"),
DI23)),
_xlpm.NTV+$DG23/(1-(1-(_xlpm.NTV)*(1-$DL23)*(1-$DM23)*(1-$DN23)*(1-$DO23)*(1-$DP23)/_xlpm.NTV))))/(1+$EP23),
$DI23+$DG23/(1-(1-($DI23)*(1-$DL23)*(1-$DM23)*(1-$DN23)*(1-$DO23)*(1-$DP23)/$DI23))),
0),
_xlpm.X*(1+$CM23)*(1+$CW23)-_xlpm.X*(1+$CM23)+_xlpm.X)</f>
        <v/>
      </c>
      <c r="DK23" s="121" t="inlineStr">
        <is>
          <t>послед.</t>
        </is>
      </c>
      <c r="DL23" s="63" t="n">
        <v>0</v>
      </c>
      <c r="DM23" s="63" t="n">
        <v>0</v>
      </c>
      <c r="DN23" s="63" t="n">
        <v>0</v>
      </c>
      <c r="DO23" s="63" t="n">
        <v>0</v>
      </c>
      <c r="DP23" s="63" t="n">
        <v>0</v>
      </c>
      <c r="DQ23" s="63">
        <f t="array" ref="DQ23">IFERROR(_xlfn.IFS(
$DK23="послед.",1-(1-$DL23)*(1-$DM23)*(1-$DN23)*(1-$DO23)*(1-$DP23),
$DK23="сумм.",$DL23+$DM23+$DN23+$DO23+$DP23),
0)</f>
        <v/>
      </c>
      <c r="DR23" s="121">
        <f t="array" ref="DR23">
IFERROR(
_xlfn.IFS(
$BL23=0,
0,
$BL23&gt;0,
_xlfn.IFS($DK23="послед.",
$DJ23*(1-$DL23)*(1-$DM23)*(1-$DN23)*(1-$DO23)*(1-$DP23),
$DK23="сумм.",
$DJ23*(1-($DL23+$DM23+$DN23+$DO23+$DP23)))),0)</f>
        <v/>
      </c>
      <c r="DS23" s="121">
        <f t="array" ref="DS23">
IFERROR(_xlfn.IFS(
$DH23="день_1",
$DR23*$BL23/($AX23-$AW23+1)*AZ23*(DAY(EOMONTH(AZ$15,0))),
$DH23="день_2",
$DR23/30*MAX(MIN($AX23,EOMONTH(AZ$15,0))-MAX($AW23,AZ$15)+1,),
$DH23="раб.день",
$DR23/30*(IFERROR(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$DR23*AZ23,
$DH23="неделя",
$DR23*AZ23/7*(ROUNDUP((DAY(EOMONTH(AZ$15,0)))/4,0))),
0)</f>
        <v/>
      </c>
      <c r="DT23" s="121">
        <f t="array" ref="DT23">
IFERROR(_xlfn.IFS(
$DH23="день_1",
$DR23*$BL23/($AX23-$AW23+1)*BA23*(DAY(EOMONTH(BA$15,0))),
$DH23="день_2",
$DR23/30*MAX(MIN($AX23,EOMONTH(BA$15,0))-MAX($AW23,BA$15)+1,),
$DH23="раб.день",
$DR23/30*(IFERROR(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$DR23*BA23,
$DH23="неделя",
$DR23*BA23/7*(ROUNDUP((DAY(EOMONTH(BA$15,0)))/4,0))),
0)</f>
        <v/>
      </c>
      <c r="DU23" s="121">
        <f t="array" ref="DU23">
IFERROR(_xlfn.IFS(
$DH23="день_1",
$DR23*$BL23/($AX23-$AW23+1)*BB23*(DAY(EOMONTH(BB$15,0))),
$DH23="день_2",
$DR23/30*MAX(MIN($AX23,EOMONTH(BB$15,0))-MAX($AW23,BB$15)+1,),
$DH23="раб.день",
$DR23/30*(IFERROR(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$DR23*BB23,
$DH23="неделя",
$DR23*BB23/7*(ROUNDUP((DAY(EOMONTH(BB$15,0)))/4,0))),
0)</f>
        <v/>
      </c>
      <c r="DV23" s="121">
        <f t="array" ref="DV23">
IFERROR(_xlfn.IFS(
$DH23="день_1",
$DR23*$BL23/($AX23-$AW23+1)*BC23*(DAY(EOMONTH(BC$15,0))),
$DH23="день_2",
$DR23/30*MAX(MIN($AX23,EOMONTH(BC$15,0))-MAX($AW23,BC$15)+1,),
$DH23="раб.день",
$DR23/30*(IFERROR(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$DR23*BC23,
$DH23="неделя",
$DR23*BC23/7*(ROUNDUP((DAY(EOMONTH(BC$15,0)))/4,0))),
0)</f>
        <v/>
      </c>
      <c r="DW23" s="121">
        <f t="array" ref="DW23">
IFERROR(_xlfn.IFS(
$DH23="день_1",
$DR23*$BL23/($AX23-$AW23+1)*BD23*(DAY(EOMONTH(BD$15,0))),
$DH23="день_2",
$DR23/30*MAX(MIN($AX23,EOMONTH(BD$15,0))-MAX($AW23,BD$15)+1,),
$DH23="раб.день",
$DR23/30*(IFERROR(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$DR23*BD23,
$DH23="неделя",
$DR23*BD23/7*(ROUNDUP((DAY(EOMONTH(BD$15,0)))/4,0))),
0)</f>
        <v/>
      </c>
      <c r="DX23" s="121">
        <f t="array" ref="DX23">
IFERROR(_xlfn.IFS(
$DH23="день_1",
$DR23*$BL23/($AX23-$AW23+1)*BE23*(DAY(EOMONTH(BE$15,0))),
$DH23="день_2",
$DR23/30*MAX(MIN($AX23,EOMONTH(BE$15,0))-MAX($AW23,BE$15)+1,),
$DH23="раб.день",
$DR23/30*(IFERROR(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$DR23*BE23,
$DH23="неделя",
$DR23*BE23/7*(ROUNDUP((DAY(EOMONTH(BE$15,0)))/4,0))),
0)</f>
        <v/>
      </c>
      <c r="DY23" s="121">
        <f t="array" ref="DY23">
IFERROR(_xlfn.IFS(
$DH23="день_1",
$DR23*$BL23/($AX23-$AW23+1)*BF23*(DAY(EOMONTH(BF$15,0))),
$DH23="день_2",
$DR23/30*MAX(MIN($AX23,EOMONTH(BF$15,0))-MAX($AW23,BF$15)+1,),
$DH23="раб.день",
$DR23/30*(IFERROR(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$DR23*BF23,
$DH23="неделя",
$DR23*BF23/7*(ROUNDUP((DAY(EOMONTH(BF$15,0)))/4,0))),
0)</f>
        <v/>
      </c>
      <c r="DZ23" s="121">
        <f t="array" ref="DZ23">
IFERROR(_xlfn.IFS(
$DH23="день_1",
$DR23*$BL23/($AX23-$AW23+1)*BG23*(DAY(EOMONTH(BG$15,0))),
$DH23="день_2",
$DR23/30*MAX(MIN($AX23,EOMONTH(BG$15,0))-MAX($AW23,BG$15)+1,),
$DH23="раб.день",
$DR23/30*(IFERROR(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$DR23*BG23,
$DH23="неделя",
$DR23*BG23/7*(ROUNDUP((DAY(EOMONTH(BG$15,0)))/4,0))),
0)</f>
        <v/>
      </c>
      <c r="EA23" s="121">
        <f t="array" ref="EA23">
IFERROR(_xlfn.IFS(
$DH23="день_1",
$DR23*$BL23/($AX23-$AW23+1)*BH23*(DAY(EOMONTH(BH$15,0))),
$DH23="день_2",
$DR23/30*MAX(MIN($AX23,EOMONTH(BH$15,0))-MAX($AW23,BH$15)+1,),
$DH23="раб.день",
$DR23/30*(IFERROR(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$DR23*BH23,
$DH23="неделя",
$DR23*BH23/7*(ROUNDUP((DAY(EOMONTH(BH$15,0)))/4,0))),
0)</f>
        <v/>
      </c>
      <c r="EB23" s="121">
        <f t="array" ref="EB23">
IFERROR(_xlfn.IFS(
$DH23="день_1",
$DR23*$BL23/($AX23-$AW23+1)*BI23*(DAY(EOMONTH(BI$15,0))),
$DH23="день_2",
$DR23/30*MAX(MIN($AX23,EOMONTH(BI$15,0))-MAX($AW23,BI$15)+1,),
$DH23="раб.день",
$DR23/30*(IFERROR(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$DR23*BI23,
$DH23="неделя",
$DR23*BI23/7*(ROUNDUP((DAY(EOMONTH(BI$15,0)))/4,0))),
0)</f>
        <v/>
      </c>
      <c r="EC23" s="121">
        <f t="array" ref="EC23">
IFERROR(_xlfn.IFS(
$DH23="день_1",
$DR23*$BL23/($AX23-$AW23+1)*BJ23*(DAY(EOMONTH(BJ$15,0))),
$DH23="день_2",
$DR23/30*MAX(MIN($AX23,EOMONTH(BJ$15,0))-MAX($AW23,BJ$15)+1,),
$DH23="раб.день",
$DR23/30*(IFERROR(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$DR23*BJ23,
$DH23="неделя",
$DR23*BJ23/7*(ROUNDUP((DAY(EOMONTH(BJ$15,0)))/4,0))),
0)</f>
        <v/>
      </c>
      <c r="ED23" s="121">
        <f t="array" ref="ED23">
IFERROR(_xlfn.IFS(
$DH23="день_1",
$DR23*$BL23/($AX23-$AW23+1)*BK23*(DAY(EOMONTH(BK$15,0))),
$DH23="день_2",
$DR23/30*MAX(MIN($AX23,EOMONTH(BK$15,0))-MAX($AW23,BK$15)+1,),
$DH23="раб.день",
$DR23/30*(IFERROR(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$DR23*BK23,
$DH23="неделя",
$DR23*BK23/7*(ROUNDUP((DAY(EOMONTH(BK$15,0)))/4,0))),
0)</f>
        <v/>
      </c>
      <c r="EE23" s="121">
        <f>SUM($DS23,$DT23,$DU23,$DV23,$DW23,$DX23,$DY23,$DZ23,$EA23,$EB23,$EC23,$ED23)</f>
        <v/>
      </c>
      <c r="EF23" s="121">
        <f>IFERROR(ROUND($EE23*(1+$EP23),2),0)</f>
        <v/>
      </c>
      <c r="EG23" s="124" t="n">
        <v>1</v>
      </c>
      <c r="EH23" s="122" t="n">
        <v>0</v>
      </c>
      <c r="EI23" s="122">
        <f>ROUND(SUM($EH23:$EH23)*SUM($AB23:$AB23)*$EG23,2)</f>
        <v/>
      </c>
      <c r="EJ23" s="122">
        <f>ROUND($EI23*(1+$EP23),2)</f>
        <v/>
      </c>
      <c r="EK23" s="122" t="n">
        <v>0</v>
      </c>
      <c r="EL23" s="122">
        <f>ROUND(SUM($EK23:$EK23)*SUM($AB23:$AB23)*$EG23,2)</f>
        <v/>
      </c>
      <c r="EM23" s="122">
        <f>ROUND($EL23*(1+$EP23),2)</f>
        <v/>
      </c>
      <c r="EN23" s="122">
        <f>SUM($EE23,$EI23,$EL23)</f>
        <v/>
      </c>
      <c r="EO23" s="122">
        <f>SUM($EF23,$EJ23,$EM23)</f>
        <v/>
      </c>
      <c r="EP23" s="59" t="n"/>
      <c r="EQ23" s="59" t="n"/>
      <c r="ER23" s="60">
        <f t="array" ref="ER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MATCH(ES23,
{"AMS";"RussOutdoor";"HD Outdoor";"Ingroup";"IQ";"Ledproduction";"LisChannel";"Logic";"Media-PPL";"NovikovTV | НовиковТВ";"SMA";"SOK";"КрокусТВ | CrocusTV | IndoorTV";"Сити";"ТЯК Москва"},
0)),"")</f>
        <v/>
      </c>
      <c r="ES23" s="60" t="n"/>
      <c r="ET23" s="60">
        <f t="array" ref="ET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MATCH(ES23,
{"AMS";"RussOutdoor";"HD Outdoor";"Ingroup";"IQ";"Ledproduction";"LisChannel";"Logic";"Media-PPL";"NovikovTV | НовиковТВ";"SMA";"SOK";"КрокусТВ | CrocusTV | IndoorTV";"Сити";"ТЯК Москва"},
0)),"")</f>
        <v/>
      </c>
      <c r="EU23" s="60" t="n"/>
      <c r="EV23" s="60" t="n"/>
      <c r="EW23" t="inlineStr">
        <is>
          <t> </t>
        </is>
      </c>
    </row>
    <row r="24">
      <c r="A24" s="59" t="n"/>
      <c r="B24" s="60" t="n"/>
      <c r="C24" s="60" t="n"/>
      <c r="D24" s="60">
        <f t="array" ref="D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4" s="60">
        <f t="array" ref="E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4" s="60" t="inlineStr"/>
      <c r="G24" s="60" t="n"/>
      <c r="H24" s="60">
        <f t="array" ref="H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4" s="60" t="n"/>
      <c r="J24" s="60" t="n"/>
      <c r="K24" s="60" t="n"/>
      <c r="L24" s="60" t="n"/>
      <c r="M24" s="60" t="n"/>
      <c r="N24" s="60" t="n"/>
      <c r="O24" s="60" t="n"/>
      <c r="P24" s="60">
        <f t="array" ref="P24">
_xlfn.IFS(
ISNUMBER(MATCH($Q24,{"шелфбаннер","разделитель","монетница","чековая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ISNUMBER(MATCH($Q24,{"каталог","журнал"},)),
"Пресса",
$Q24="","")</f>
        <v/>
      </c>
      <c r="Q24" s="60" t="n"/>
      <c r="R24" s="60">
        <f t="array" ref="R24">
IFERROR(
_xlfn.IFS(
OR(ISNUMBER(MATCH($Q24,{"экспозиция","макет","стенд","автостенд","авто стенд","выставочное пространство","выставочные стенды","модульные выставочные стенды","3Д конструкция","3D конструкция"},)),P24="Экспонирование"),
"нестандартный",
ISNUMBER(MATCH($Q24,{"скроллер","призматрон"},)),
"динамический",
$P24="Видео",
"цифровой",
OR($P24="Пресса",$P24="Щит",$P24="POSm",$P24="Подвес",$P24="Брендирование/оклейка"),
"статический"),"")</f>
        <v/>
      </c>
      <c r="S24" s="59" t="n"/>
      <c r="T24" s="60" t="n"/>
      <c r="U24" s="60" t="n"/>
      <c r="V24" s="60">
        <f>
IF(P24="Видео",
"цифровой постер/ролик",
IF(ISNUMBER(MATCH(Q24,{"короб световой","короб световой | лайтбокс","короб световой | кристалайт","лайтбокс","лайт бокс","кристалайт","LB","lightbox"},)),
"бэклит",
IF(P24="Брендирование/оклейка",
"перфарированная пленка/самоклейка",
IF(P24="Экспонирование",
"под запрос",
IF(P24="Подвес",
"баннер/ткань",
"")))))</f>
        <v/>
      </c>
      <c r="W24" s="59" t="n"/>
      <c r="X24" s="59" t="n"/>
      <c r="Y24" s="59" t="n"/>
      <c r="Z24" s="61" t="n"/>
      <c r="AA24" s="61" t="n"/>
      <c r="AB24" s="61">
        <f>IF(BL24&gt;0,Z24,0)</f>
        <v/>
      </c>
      <c r="AC24" s="59" t="n"/>
      <c r="AD24" s="59" t="n"/>
      <c r="AE24" s="59" t="n"/>
      <c r="AF24" s="59" t="n"/>
      <c r="AG24" s="59" t="n"/>
      <c r="AH24" s="59" t="e">
        <v>#VALUE!</v>
      </c>
      <c r="AI24" s="59" t="n"/>
      <c r="AJ24" s="59" t="n"/>
      <c r="AK24" s="59" t="n"/>
      <c r="AL24" s="62">
        <f>IFERROR(IF(OR(R24="статический",R24="динамический",R24="нестандартный",R24="",R24=""),"-",IF(AND(AH24="-",AI24="-"),"-",AK24*3600/AH24*AI24)),"-")</f>
        <v/>
      </c>
      <c r="AM24" s="62">
        <f>IFERROR(IF(OR(R24="статический",R24="динамический",R24="",R24="", R24="BTL",R24="нестандартный"),"-",AG24*AI24*AL24/60),"-")</f>
        <v/>
      </c>
      <c r="AN24" s="63">
        <f>IFERROR(IF(AH24="","-",AG24*AI24/AH24),"-")</f>
        <v/>
      </c>
      <c r="AO24" s="59">
        <f>IFERROR(IF(OR($R24="статический",$R24="динамический",$R24="",$R24="",$R24="BTL",$R24="нестандартный"),"-",$AL24*$AY24),"-")</f>
        <v/>
      </c>
      <c r="AP24" s="62">
        <f>IFERROR(IF(OR($R24="статический",$R24="динамический",$R24="",$R24="",$R24="BTL",$R24="нестандартный"),"-",$AM24*AY24),"-")</f>
        <v/>
      </c>
      <c r="AQ24" s="64" t="n"/>
      <c r="AR24" s="61" t="n"/>
      <c r="AS24" s="61" t="n"/>
      <c r="AT24" s="61" t="n"/>
      <c r="AU24" s="65" t="n"/>
      <c r="AV24" s="120">
        <f>IFERROR(DR24/AT24*1000,"n/a")</f>
        <v/>
      </c>
      <c r="AW24" s="67" t="n"/>
      <c r="AX24" s="67" t="n"/>
      <c r="AY24" s="43">
        <f>IFERROR(IF(OR($AW24="",$AX24=""),"",_xlfn.DAYS($AX24+1,$AW24)),"")</f>
        <v/>
      </c>
      <c r="AZ24" s="68">
        <f t="array" ref="AZ24">
_xlfn.LET(_xlpm.COEFF,
IF($AW24+$AX24=0,0,IF(MAX(MIN($AX24,EOMONTH(AZ$15,0))-MAX($AW24,AZ$15)+1,)&gt;0,1,0)),
_xlfn.IFS(
$ES24="LisChannel",
_xlpm.COEFF*
INDEX({1;1;1.2;1.2;1;1;1;1;1.2;1.2;1.2;1.2},
MATCH(MONTH(AZ$15),
{1,2,3,4,5,6,7,8,9,10,11,12})),
CONCATENATE($ES24," ",$L24)="RussOutdoor метро",
_xlpm.COEFF*
INDEX({0.8;0.9;1.1;1.1;1;1;1;1;1.1;1.1;1.1;1.1},
MATCH(MONTH(AZ$15),
{1,2,3,4,5,6,7,8,9,10,11,12})),
$ES24&lt;&gt;"LisChannel",
_xlpm.COEFF,
$ES24&lt;&gt;"RussOutdoor",
_xlpm.COEFF))</f>
        <v/>
      </c>
      <c r="BA24" s="68">
        <f t="array" ref="BA24">
_xlfn.LET(_xlpm.COEFF,
IF($AW24+$AX24=0,0,IF(MAX(MIN($AX24,EOMONTH(BA$15,0))-MAX($AW24,BA$15)+1,)&gt;0,1,0)),
_xlfn.IFS(
$ES24="LisChannel",
_xlpm.COEFF*
INDEX({1;1;1.2;1.2;1;1;1;1;1.2;1.2;1.2;1.2},
MATCH(MONTH(BA$15),
{1,2,3,4,5,6,7,8,9,10,11,12})),
CONCATENATE($ES24," ",$L24)="RussOutdoor метро",
_xlpm.COEFF*
INDEX({0.8;0.9;1.1;1.1;1;1;1;1;1.1;1.1;1.1;1.1},
MATCH(MONTH(BA$15),
{1,2,3,4,5,6,7,8,9,10,11,12})),
$ES24&lt;&gt;"LisChannel",
_xlpm.COEFF,
$ES24&lt;&gt;"RussOutdoor",
_xlpm.COEFF))</f>
        <v/>
      </c>
      <c r="BB24" s="68">
        <f t="array" ref="BB24">
_xlfn.LET(_xlpm.COEFF,
IF($AW24+$AX24=0,0,IF(MAX(MIN($AX24,EOMONTH(BB$15,0))-MAX($AW24,BB$15)+1,)&gt;0,1,0)),
_xlfn.IFS(
$ES24="LisChannel",
_xlpm.COEFF*
INDEX({1;1;1.2;1.2;1;1;1;1;1.2;1.2;1.2;1.2},
MATCH(MONTH(BB$15),
{1,2,3,4,5,6,7,8,9,10,11,12})),
CONCATENATE($ES24," ",$L24)="RussOutdoor метро",
_xlpm.COEFF*
INDEX({0.8;0.9;1.1;1.1;1;1;1;1;1.1;1.1;1.1;1.1},
MATCH(MONTH(BB$15),
{1,2,3,4,5,6,7,8,9,10,11,12})),
$ES24&lt;&gt;"LisChannel",
_xlpm.COEFF,
$ES24&lt;&gt;"RussOutdoor",
_xlpm.COEFF))</f>
        <v/>
      </c>
      <c r="BC24" s="68">
        <f t="array" ref="BC24">
_xlfn.LET(_xlpm.COEFF,
IF($AW24+$AX24=0,0,IF(MAX(MIN($AX24,EOMONTH(BC$15,0))-MAX($AW24,BC$15)+1,)&gt;0,1,0)),
_xlfn.IFS(
$ES24="LisChannel",
_xlpm.COEFF*
INDEX({1;1;1.2;1.2;1;1;1;1;1.2;1.2;1.2;1.2},
MATCH(MONTH(BC$15),
{1,2,3,4,5,6,7,8,9,10,11,12})),
CONCATENATE($ES24," ",$L24)="RussOutdoor метро",
_xlpm.COEFF*
INDEX({0.8;0.9;1.1;1.1;1;1;1;1;1.1;1.1;1.1;1.1},
MATCH(MONTH(BC$15),
{1,2,3,4,5,6,7,8,9,10,11,12})),
$ES24&lt;&gt;"LisChannel",
_xlpm.COEFF,
$ES24&lt;&gt;"RussOutdoor",
_xlpm.COEFF))</f>
        <v/>
      </c>
      <c r="BD24" s="68">
        <f t="array" ref="BD24">
_xlfn.LET(_xlpm.COEFF,
IF($AW24+$AX24=0,0,IF(MAX(MIN($AX24,EOMONTH(BD$15,0))-MAX($AW24,BD$15)+1,)&gt;0,1,0)),
_xlfn.IFS(
$ES24="LisChannel",
_xlpm.COEFF*
INDEX({1;1;1.2;1.2;1;1;1;1;1.2;1.2;1.2;1.2},
MATCH(MONTH(BD$15),
{1,2,3,4,5,6,7,8,9,10,11,12})),
CONCATENATE($ES24," ",$L24)="RussOutdoor метро",
_xlpm.COEFF*
INDEX({0.8;0.9;1.1;1.1;1;1;1;1;1.1;1.1;1.1;1.1},
MATCH(MONTH(BD$15),
{1,2,3,4,5,6,7,8,9,10,11,12})),
$ES24&lt;&gt;"LisChannel",
_xlpm.COEFF,
$ES24&lt;&gt;"RussOutdoor",
_xlpm.COEFF))</f>
        <v/>
      </c>
      <c r="BE24" s="68">
        <f t="array" ref="BE24">
_xlfn.LET(_xlpm.COEFF,
IF($AW24+$AX24=0,0,IF(MAX(MIN($AX24,EOMONTH(BE$15,0))-MAX($AW24,BE$15)+1,)&gt;0,1,0)),
_xlfn.IFS(
$ES24="LisChannel",
_xlpm.COEFF*
INDEX({1;1;1.2;1.2;1;1;1;1;1.2;1.2;1.2;1.2},
MATCH(MONTH(BE$15),
{1,2,3,4,5,6,7,8,9,10,11,12})),
CONCATENATE($ES24," ",$L24)="RussOutdoor метро",
_xlpm.COEFF*
INDEX({0.8;0.9;1.1;1.1;1;1;1;1;1.1;1.1;1.1;1.1},
MATCH(MONTH(BE$15),
{1,2,3,4,5,6,7,8,9,10,11,12})),
$ES24&lt;&gt;"LisChannel",
_xlpm.COEFF,
$ES24&lt;&gt;"RussOutdoor",
_xlpm.COEFF))</f>
        <v/>
      </c>
      <c r="BF24" s="68">
        <f t="array" ref="BF24">
_xlfn.LET(_xlpm.COEFF,
IF($AW24+$AX24=0,0,IF(MAX(MIN($AX24,EOMONTH(BF$15,0))-MAX($AW24,BF$15)+1,)&gt;0,1,0)),
_xlfn.IFS(
$ES24="LisChannel",
_xlpm.COEFF*
INDEX({1;1;1.2;1.2;1;1;1;1;1.2;1.2;1.2;1.2},
MATCH(MONTH(BF$15),
{1,2,3,4,5,6,7,8,9,10,11,12})),
CONCATENATE($ES24," ",$L24)="RussOutdoor метро",
_xlpm.COEFF*
INDEX({0.8;0.9;1.1;1.1;1;1;1;1;1.1;1.1;1.1;1.1},
MATCH(MONTH(BF$15),
{1,2,3,4,5,6,7,8,9,10,11,12})),
$ES24&lt;&gt;"LisChannel",
_xlpm.COEFF,
$ES24&lt;&gt;"RussOutdoor",
_xlpm.COEFF))</f>
        <v/>
      </c>
      <c r="BG24" s="68">
        <f t="array" ref="BG24">
_xlfn.LET(_xlpm.COEFF,
IF($AW24+$AX24=0,0,IF(MAX(MIN($AX24,EOMONTH(BG$15,0))-MAX($AW24,BG$15)+1,)&gt;0,1,0)),
_xlfn.IFS(
$ES24="LisChannel",
_xlpm.COEFF*
INDEX({1;1;1.2;1.2;1;1;1;1;1.2;1.2;1.2;1.2},
MATCH(MONTH(BG$15),
{1,2,3,4,5,6,7,8,9,10,11,12})),
CONCATENATE($ES24," ",$L24)="RussOutdoor метро",
_xlpm.COEFF*
INDEX({0.8;0.9;1.1;1.1;1;1;1;1;1.1;1.1;1.1;1.1},
MATCH(MONTH(BG$15),
{1,2,3,4,5,6,7,8,9,10,11,12})),
$ES24&lt;&gt;"LisChannel",
_xlpm.COEFF,
$ES24&lt;&gt;"RussOutdoor",
_xlpm.COEFF))</f>
        <v/>
      </c>
      <c r="BH24" s="68">
        <f t="array" ref="BH24">
_xlfn.LET(_xlpm.COEFF,
IF($AW24+$AX24=0,0,IF(MAX(MIN($AX24,EOMONTH(BH$15,0))-MAX($AW24,BH$15)+1,)&gt;0,1,0)),
_xlfn.IFS(
$ES24="LisChannel",
_xlpm.COEFF*
INDEX({1;1;1.2;1.2;1;1;1;1;1.2;1.2;1.2;1.2},
MATCH(MONTH(BH$15),
{1,2,3,4,5,6,7,8,9,10,11,12})),
CONCATENATE($ES24," ",$L24)="RussOutdoor метро",
_xlpm.COEFF*
INDEX({0.8;0.9;1.1;1.1;1;1;1;1;1.1;1.1;1.1;1.1},
MATCH(MONTH(BH$15),
{1,2,3,4,5,6,7,8,9,10,11,12})),
$ES24&lt;&gt;"LisChannel",
_xlpm.COEFF,
$ES24&lt;&gt;"RussOutdoor",
_xlpm.COEFF))</f>
        <v/>
      </c>
      <c r="BI24" s="68">
        <f t="array" ref="BI24">
_xlfn.LET(_xlpm.COEFF,
IF($AW24+$AX24=0,0,IF(MAX(MIN($AX24,EOMONTH(BI$15,0))-MAX($AW24,BI$15)+1,)&gt;0,1,0)),
_xlfn.IFS(
$ES24="LisChannel",
_xlpm.COEFF*
INDEX({1;1;1.2;1.2;1;1;1;1;1.2;1.2;1.2;1.2},
MATCH(MONTH(BI$15),
{1,2,3,4,5,6,7,8,9,10,11,12})),
CONCATENATE($ES24," ",$L24)="RussOutdoor метро",
_xlpm.COEFF*
INDEX({0.8;0.9;1.1;1.1;1;1;1;1;1.1;1.1;1.1;1.1},
MATCH(MONTH(BI$15),
{1,2,3,4,5,6,7,8,9,10,11,12})),
$ES24&lt;&gt;"LisChannel",
_xlpm.COEFF,
$ES24&lt;&gt;"RussOutdoor",
_xlpm.COEFF))</f>
        <v/>
      </c>
      <c r="BJ24" s="68">
        <f t="array" ref="BJ24">
_xlfn.LET(_xlpm.COEFF,
IF($AW24+$AX24=0,0,IF(MAX(MIN($AX24,EOMONTH(BJ$15,0))-MAX($AW24,BJ$15)+1,)&gt;0,1,0)),
_xlfn.IFS(
$ES24="LisChannel",
_xlpm.COEFF*
INDEX({1;1;1.2;1.2;1;1;1;1;1.2;1.2;1.2;1.2},
MATCH(MONTH(BJ$15),
{1,2,3,4,5,6,7,8,9,10,11,12})),
CONCATENATE($ES24," ",$L24)="RussOutdoor метро",
_xlpm.COEFF*
INDEX({0.8;0.9;1.1;1.1;1;1;1;1;1.1;1.1;1.1;1.1},
MATCH(MONTH(BJ$15),
{1,2,3,4,5,6,7,8,9,10,11,12})),
$ES24&lt;&gt;"LisChannel",
_xlpm.COEFF,
$ES24&lt;&gt;"RussOutdoor",
_xlpm.COEFF))</f>
        <v/>
      </c>
      <c r="BK24" s="68">
        <f t="array" ref="BK24">
_xlfn.LET(_xlpm.COEFF,
IF($AW24+$AX24=0,0,IF(MAX(MIN($AX24,EOMONTH(BK$15,0))-MAX($AW24,BK$15)+1,)&gt;0,1,0)),
_xlfn.IFS(
$ES24="LisChannel",
_xlpm.COEFF*
INDEX({1;1;1.2;1.2;1;1;1;1;1.2;1.2;1.2;1.2},
MATCH(MONTH(BK$15),
{1,2,3,4,5,6,7,8,9,10,11,12})),
CONCATENATE($ES24," ",$L24)="RussOutdoor метро",
_xlpm.COEFF*
INDEX({0.8;0.9;1.1;1.1;1;1;1;1;1.1;1.1;1.1;1.1},
MATCH(MONTH(BK$15),
{1,2,3,4,5,6,7,8,9,10,11,12})),
$ES24&lt;&gt;"LisChannel",
_xlpm.COEFF,
$ES24&lt;&gt;"RussOutdoor",
_xlpm.COEFF))</f>
        <v/>
      </c>
      <c r="BL24" s="62">
        <f>COUNTIFS($AZ24:$BK24,"&gt;0")</f>
        <v/>
      </c>
      <c r="BM24" s="65" t="n"/>
      <c r="BN24" s="121">
        <f>$DJ24</f>
        <v/>
      </c>
      <c r="BO24" s="63">
        <f>$DQ24</f>
        <v/>
      </c>
      <c r="BP24" s="121">
        <f>
IFERROR(
IF($BL24=0,0,
$BN24*(1-$BO24)),
0)</f>
        <v/>
      </c>
      <c r="BQ24" s="121">
        <f t="array" ref="BQ24">
IFERROR(
_xlfn.IFS(
$DH24="день_1",
$BP24*$BL24/($AX24-$AW24+1)*AZ24*(DAY(EOMONTH(AZ$15,0))),
$DH24="день_2",
$BP24/30*MAX(MIN($AX24,EOMONTH(AZ$15,0))-MAX($AW24,AZ$15)+1,),
$DH24="раб.день",
$BP24/30*(IFERROR(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$BP24*AZ24,
$DH24="неделя",
$BP24*AZ24/7*(ROUNDUP((DAY(EOMONTH(AZ$15,0)))/4,0))),
0)</f>
        <v/>
      </c>
      <c r="BR24" s="121">
        <f t="array" ref="BR24">
IFERROR(
_xlfn.IFS(
$DH24="день_1",
$BP24*$BL24/($AX24-$AW24+1)*BA24*(DAY(EOMONTH(BA$15,0))),
$DH24="день_2",
$BP24/30*MAX(MIN($AX24,EOMONTH(BA$15,0))-MAX($AW24,BA$15)+1,),
$DH24="раб.день",
$BP24/30*(IFERROR(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$BP24*BA24,
$DH24="неделя",
$BP24*BA24/7*(ROUNDUP((DAY(EOMONTH(BA$15,0)))/4,0))),
0)</f>
        <v/>
      </c>
      <c r="BS24" s="121">
        <f t="array" ref="BS24">
IFERROR(
_xlfn.IFS(
$DH24="день_1",
$BP24*$BL24/($AX24-$AW24+1)*BB24*(DAY(EOMONTH(BB$15,0))),
$DH24="день_2",
$BP24/30*MAX(MIN($AX24,EOMONTH(BB$15,0))-MAX($AW24,BB$15)+1,),
$DH24="раб.день",
$BP24/30*(IFERROR(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$BP24*BB24,
$DH24="неделя",
$BP24*BB24/7*(ROUNDUP((DAY(EOMONTH(BB$15,0)))/4,0))),
0)</f>
        <v/>
      </c>
      <c r="BT24" s="121">
        <f t="array" ref="BT24">
IFERROR(
_xlfn.IFS(
$DH24="день_1",
$BP24*$BL24/($AX24-$AW24+1)*BC24*(DAY(EOMONTH(BC$15,0))),
$DH24="день_2",
$BP24/30*MAX(MIN($AX24,EOMONTH(BC$15,0))-MAX($AW24,BC$15)+1,),
$DH24="раб.день",
$BP24/30*(IFERROR(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$BP24*BC24,
$DH24="неделя",
$BP24*BC24/7*(ROUNDUP((DAY(EOMONTH(BC$15,0)))/4,0))),
0)</f>
        <v/>
      </c>
      <c r="BU24" s="121">
        <f t="array" ref="BU24">
IFERROR(
_xlfn.IFS(
$DH24="день_1",
$BP24*$BL24/($AX24-$AW24+1)*BD24*(DAY(EOMONTH(BD$15,0))),
$DH24="день_2",
$BP24/30*MAX(MIN($AX24,EOMONTH(BD$15,0))-MAX($AW24,BD$15)+1,),
$DH24="раб.день",
$BP24/30*(IFERROR(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$BP24*BD24,
$DH24="неделя",
$BP24*BD24/7*(ROUNDUP((DAY(EOMONTH(BD$15,0)))/4,0))),
0)</f>
        <v/>
      </c>
      <c r="BV24" s="121">
        <f t="array" ref="BV24">
IFERROR(
_xlfn.IFS(
$DH24="день_1",
$BP24*$BL24/($AX24-$AW24+1)*BE24*(DAY(EOMONTH(BE$15,0))),
$DH24="день_2",
$BP24/30*MAX(MIN($AX24,EOMONTH(BE$15,0))-MAX($AW24,BE$15)+1,),
$DH24="раб.день",
$BP24/30*(IFERROR(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$BP24*BE24,
$DH24="неделя",
$BP24*BE24/7*(ROUNDUP((DAY(EOMONTH(BE$15,0)))/4,0))),
0)</f>
        <v/>
      </c>
      <c r="BW24" s="121">
        <f t="array" ref="BW24">
IFERROR(
_xlfn.IFS(
$DH24="день_1",
$BP24*$BL24/($AX24-$AW24+1)*BF24*(DAY(EOMONTH(BF$15,0))),
$DH24="день_2",
$BP24/30*MAX(MIN($AX24,EOMONTH(BF$15,0))-MAX($AW24,BF$15)+1,),
$DH24="раб.день",
$BP24/30*(IFERROR(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$BP24*BF24,
$DH24="неделя",
$BP24*BF24/7*(ROUNDUP((DAY(EOMONTH(BF$15,0)))/4,0))),
0)</f>
        <v/>
      </c>
      <c r="BX24" s="121">
        <f t="array" ref="BX24">
IFERROR(
_xlfn.IFS(
$DH24="день_1",
$BP24*$BL24/($AX24-$AW24+1)*BG24*(DAY(EOMONTH(BG$15,0))),
$DH24="день_2",
$BP24/30*MAX(MIN($AX24,EOMONTH(BG$15,0))-MAX($AW24,BG$15)+1,),
$DH24="раб.день",
$BP24/30*(IFERROR(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$BP24*BG24,
$DH24="неделя",
$BP24*BG24/7*(ROUNDUP((DAY(EOMONTH(BG$15,0)))/4,0))),
0)</f>
        <v/>
      </c>
      <c r="BY24" s="121">
        <f t="array" ref="BY24">
IFERROR(
_xlfn.IFS(
$DH24="день_1",
$BP24*$BL24/($AX24-$AW24+1)*BH24*(DAY(EOMONTH(BH$15,0))),
$DH24="день_2",
$BP24/30*MAX(MIN($AX24,EOMONTH(BH$15,0))-MAX($AW24,BH$15)+1,),
$DH24="раб.день",
$BP24/30*(IFERROR(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$BP24*BH24,
$DH24="неделя",
$BP24*BH24/7*(ROUNDUP((DAY(EOMONTH(BH$15,0)))/4,0))),
0)</f>
        <v/>
      </c>
      <c r="BZ24" s="121">
        <f t="array" ref="BZ24">
IFERROR(
_xlfn.IFS(
$DH24="день_1",
$BP24*$BL24/($AX24-$AW24+1)*BI24*(DAY(EOMONTH(BI$15,0))),
$DH24="день_2",
$BP24/30*MAX(MIN($AX24,EOMONTH(BI$15,0))-MAX($AW24,BI$15)+1,),
$DH24="раб.день",
$BP24/30*(IFERROR(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$BP24*BI24,
$DH24="неделя",
$BP24*BI24/7*(ROUNDUP((DAY(EOMONTH(BI$15,0)))/4,0))),
0)</f>
        <v/>
      </c>
      <c r="CA24" s="121">
        <f t="array" ref="CA24">
IFERROR(
_xlfn.IFS(
$DH24="день_1",
$BP24*$BL24/($AX24-$AW24+1)*BJ24*(DAY(EOMONTH(BJ$15,0))),
$DH24="день_2",
$BP24/30*MAX(MIN($AX24,EOMONTH(BJ$15,0))-MAX($AW24,BJ$15)+1,),
$DH24="раб.день",
$BP24/30*(IFERROR(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$BP24*BJ24,
$DH24="неделя",
$BP24*BJ24/7*(ROUNDUP((DAY(EOMONTH(BJ$15,0)))/4,0))),
0)</f>
        <v/>
      </c>
      <c r="CB24" s="121">
        <f t="array" ref="CB24">
IFERROR(
_xlfn.IFS(
$DH24="день_1",
$BP24*$BL24/($AX24-$AW24+1)*BK24*(DAY(EOMONTH(BK$15,0))),
$DH24="день_2",
$BP24/30*MAX(MIN($AX24,EOMONTH(BK$15,0))-MAX($AW24,BK$15)+1,),
$DH24="раб.день",
$BP24/30*(IFERROR(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$BP24*BK24,
$DH24="неделя",
$BP24*BK24/7*(ROUNDUP((DAY(EOMONTH(BK$15,0)))/4,0))),
0)</f>
        <v/>
      </c>
      <c r="CC24" s="121">
        <f>SUM($BQ24:$CB24)</f>
        <v/>
      </c>
      <c r="CD24" s="122">
        <f>SUM($EH24:$EH24)</f>
        <v/>
      </c>
      <c r="CE24" s="122">
        <f>$CD24*$AB24</f>
        <v/>
      </c>
      <c r="CF24" s="122">
        <f>SUM($EK24:$EK24)</f>
        <v/>
      </c>
      <c r="CG24" s="122">
        <f>$CF24*$AB24</f>
        <v/>
      </c>
      <c r="CH24" s="122">
        <f>SUM($CC24,$CE24,$CG24)</f>
        <v/>
      </c>
      <c r="CI24" s="122">
        <f>$CH24*(1+$CM24)</f>
        <v/>
      </c>
      <c r="CJ24" s="123" t="n">
        <v>0</v>
      </c>
      <c r="CK24" s="122">
        <f>SUM($CH24:$CH24)*(1+$CJ24)</f>
        <v/>
      </c>
      <c r="CL24" s="122">
        <f>SUM($CH24:$CH24)*(1+$CM24)</f>
        <v/>
      </c>
      <c r="CM24" s="59" t="n"/>
      <c r="CN24" s="59" t="n"/>
      <c r="CO24" s="72" t="n"/>
      <c r="CP24" s="59" t="n"/>
      <c r="CQ24" s="73" t="n"/>
      <c r="CR24" s="73" t="n"/>
      <c r="CS24" s="73" t="n"/>
      <c r="CT24" s="72" t="n"/>
      <c r="CU24" s="79" t="inlineStr">
        <is>
          <t> </t>
        </is>
      </c>
      <c r="CV24" s="60" t="n"/>
      <c r="CW24" s="60" t="n"/>
      <c r="CX24" s="60" t="n"/>
      <c r="CY24" s="123">
        <f>IFERROR(($CC24-$EE24)/($EE24/(1-$DQ24)),0)</f>
        <v/>
      </c>
      <c r="CZ24" s="123">
        <f>IFERROR(1-$EI24/($CE24),0)</f>
        <v/>
      </c>
      <c r="DA24" s="123">
        <f>IFERROR(1-$EL24/($CG24),0)</f>
        <v/>
      </c>
      <c r="DB24" s="122">
        <f>ROUND(IFERROR(($CI24/(1+$CM24)-$EN24),0),2)</f>
        <v/>
      </c>
      <c r="DC24" s="124" t="n"/>
      <c r="DD24" s="121" t="n"/>
      <c r="DE24" s="75" t="n">
        <v>0</v>
      </c>
      <c r="DF24" s="124" t="n"/>
      <c r="DG24" s="121">
        <f>IF($DC24=0,0,$DD24*($DC24*100%-$DE24*$DF24))*SUM($AB24:$AB24)</f>
        <v/>
      </c>
      <c r="DH24" s="125" t="inlineStr">
        <is>
          <t>месяц</t>
        </is>
      </c>
      <c r="DI24" s="126">
        <f t="array" ref="DI24">IFERROR(
IF($ES24="LisChannel",
(ROUND(((INDEX({174.625;153.888888888889;130.972222222222},MATCH($AI24,{2;3;4}),0))*$AG24*$AI24),2)),0),0)</f>
        <v/>
      </c>
      <c r="DJ24" s="126">
        <f>
_xlfn.LET(_xlpm.X,
IFERROR(
IF($ES24="НовиковТВ",
(_xlfn.LET(_xlpm.NTV,
_xlfn.LET(_xlpm.MIN,350000,
IF(SUMIFS($DI:$DI,$ES:$ES,"НовиковТВ")&lt;=_xlpm.MIN,
(SUMIFS($DI:$DI,$ES:$ES,"НовиковТВ")/(COUNTIFS($ES:$ES,"НовиковТВ")))*_xlpm.MIN/SUMIFS($DI:$DI,$ES:$ES,"НовиковТВ"),
DI24)),
_xlpm.NTV+$DG24/(1-(1-(_xlpm.NTV)*(1-$DL24)*(1-$DM24)*(1-$DN24)*(1-$DO24)*(1-$DP24)/_xlpm.NTV))))/(1+$EP24),
$DI24+$DG24/(1-(1-($DI24)*(1-$DL24)*(1-$DM24)*(1-$DN24)*(1-$DO24)*(1-$DP24)/$DI24))),
0),
_xlpm.X*(1+$CM24)*(1+$CW24)-_xlpm.X*(1+$CM24)+_xlpm.X)</f>
        <v/>
      </c>
      <c r="DK24" s="121" t="inlineStr">
        <is>
          <t>послед.</t>
        </is>
      </c>
      <c r="DL24" s="63" t="n">
        <v>0</v>
      </c>
      <c r="DM24" s="63" t="n">
        <v>0</v>
      </c>
      <c r="DN24" s="63" t="n">
        <v>0</v>
      </c>
      <c r="DO24" s="63" t="n">
        <v>0</v>
      </c>
      <c r="DP24" s="63" t="n">
        <v>0</v>
      </c>
      <c r="DQ24" s="63">
        <f t="array" ref="DQ24">IFERROR(_xlfn.IFS(
$DK24="послед.",1-(1-$DL24)*(1-$DM24)*(1-$DN24)*(1-$DO24)*(1-$DP24),
$DK24="сумм.",$DL24+$DM24+$DN24+$DO24+$DP24),
0)</f>
        <v/>
      </c>
      <c r="DR24" s="121">
        <f t="array" ref="DR24">
IFERROR(
_xlfn.IFS(
$BL24=0,
0,
$BL24&gt;0,
_xlfn.IFS($DK24="послед.",
$DJ24*(1-$DL24)*(1-$DM24)*(1-$DN24)*(1-$DO24)*(1-$DP24),
$DK24="сумм.",
$DJ24*(1-($DL24+$DM24+$DN24+$DO24+$DP24)))),0)</f>
        <v/>
      </c>
      <c r="DS24" s="121">
        <f t="array" ref="DS24">
IFERROR(_xlfn.IFS(
$DH24="день_1",
$DR24*$BL24/($AX24-$AW24+1)*AZ24*(DAY(EOMONTH(AZ$15,0))),
$DH24="день_2",
$DR24/30*MAX(MIN($AX24,EOMONTH(AZ$15,0))-MAX($AW24,AZ$15)+1,),
$DH24="раб.день",
$DR24/30*(IFERROR(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$DR24*AZ24,
$DH24="неделя",
$DR24*AZ24/7*(ROUNDUP((DAY(EOMONTH(AZ$15,0)))/4,0))),
0)</f>
        <v/>
      </c>
      <c r="DT24" s="121">
        <f t="array" ref="DT24">
IFERROR(_xlfn.IFS(
$DH24="день_1",
$DR24*$BL24/($AX24-$AW24+1)*BA24*(DAY(EOMONTH(BA$15,0))),
$DH24="день_2",
$DR24/30*MAX(MIN($AX24,EOMONTH(BA$15,0))-MAX($AW24,BA$15)+1,),
$DH24="раб.день",
$DR24/30*(IFERROR(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$DR24*BA24,
$DH24="неделя",
$DR24*BA24/7*(ROUNDUP((DAY(EOMONTH(BA$15,0)))/4,0))),
0)</f>
        <v/>
      </c>
      <c r="DU24" s="121">
        <f t="array" ref="DU24">
IFERROR(_xlfn.IFS(
$DH24="день_1",
$DR24*$BL24/($AX24-$AW24+1)*BB24*(DAY(EOMONTH(BB$15,0))),
$DH24="день_2",
$DR24/30*MAX(MIN($AX24,EOMONTH(BB$15,0))-MAX($AW24,BB$15)+1,),
$DH24="раб.день",
$DR24/30*(IFERROR(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$DR24*BB24,
$DH24="неделя",
$DR24*BB24/7*(ROUNDUP((DAY(EOMONTH(BB$15,0)))/4,0))),
0)</f>
        <v/>
      </c>
      <c r="DV24" s="121">
        <f t="array" ref="DV24">
IFERROR(_xlfn.IFS(
$DH24="день_1",
$DR24*$BL24/($AX24-$AW24+1)*BC24*(DAY(EOMONTH(BC$15,0))),
$DH24="день_2",
$DR24/30*MAX(MIN($AX24,EOMONTH(BC$15,0))-MAX($AW24,BC$15)+1,),
$DH24="раб.день",
$DR24/30*(IFERROR(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$DR24*BC24,
$DH24="неделя",
$DR24*BC24/7*(ROUNDUP((DAY(EOMONTH(BC$15,0)))/4,0))),
0)</f>
        <v/>
      </c>
      <c r="DW24" s="121">
        <f t="array" ref="DW24">
IFERROR(_xlfn.IFS(
$DH24="день_1",
$DR24*$BL24/($AX24-$AW24+1)*BD24*(DAY(EOMONTH(BD$15,0))),
$DH24="день_2",
$DR24/30*MAX(MIN($AX24,EOMONTH(BD$15,0))-MAX($AW24,BD$15)+1,),
$DH24="раб.день",
$DR24/30*(IFERROR(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$DR24*BD24,
$DH24="неделя",
$DR24*BD24/7*(ROUNDUP((DAY(EOMONTH(BD$15,0)))/4,0))),
0)</f>
        <v/>
      </c>
      <c r="DX24" s="121">
        <f t="array" ref="DX24">
IFERROR(_xlfn.IFS(
$DH24="день_1",
$DR24*$BL24/($AX24-$AW24+1)*BE24*(DAY(EOMONTH(BE$15,0))),
$DH24="день_2",
$DR24/30*MAX(MIN($AX24,EOMONTH(BE$15,0))-MAX($AW24,BE$15)+1,),
$DH24="раб.день",
$DR24/30*(IFERROR(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$DR24*BE24,
$DH24="неделя",
$DR24*BE24/7*(ROUNDUP((DAY(EOMONTH(BE$15,0)))/4,0))),
0)</f>
        <v/>
      </c>
      <c r="DY24" s="121">
        <f t="array" ref="DY24">
IFERROR(_xlfn.IFS(
$DH24="день_1",
$DR24*$BL24/($AX24-$AW24+1)*BF24*(DAY(EOMONTH(BF$15,0))),
$DH24="день_2",
$DR24/30*MAX(MIN($AX24,EOMONTH(BF$15,0))-MAX($AW24,BF$15)+1,),
$DH24="раб.день",
$DR24/30*(IFERROR(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$DR24*BF24,
$DH24="неделя",
$DR24*BF24/7*(ROUNDUP((DAY(EOMONTH(BF$15,0)))/4,0))),
0)</f>
        <v/>
      </c>
      <c r="DZ24" s="121">
        <f t="array" ref="DZ24">
IFERROR(_xlfn.IFS(
$DH24="день_1",
$DR24*$BL24/($AX24-$AW24+1)*BG24*(DAY(EOMONTH(BG$15,0))),
$DH24="день_2",
$DR24/30*MAX(MIN($AX24,EOMONTH(BG$15,0))-MAX($AW24,BG$15)+1,),
$DH24="раб.день",
$DR24/30*(IFERROR(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$DR24*BG24,
$DH24="неделя",
$DR24*BG24/7*(ROUNDUP((DAY(EOMONTH(BG$15,0)))/4,0))),
0)</f>
        <v/>
      </c>
      <c r="EA24" s="121">
        <f t="array" ref="EA24">
IFERROR(_xlfn.IFS(
$DH24="день_1",
$DR24*$BL24/($AX24-$AW24+1)*BH24*(DAY(EOMONTH(BH$15,0))),
$DH24="день_2",
$DR24/30*MAX(MIN($AX24,EOMONTH(BH$15,0))-MAX($AW24,BH$15)+1,),
$DH24="раб.день",
$DR24/30*(IFERROR(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$DR24*BH24,
$DH24="неделя",
$DR24*BH24/7*(ROUNDUP((DAY(EOMONTH(BH$15,0)))/4,0))),
0)</f>
        <v/>
      </c>
      <c r="EB24" s="121">
        <f t="array" ref="EB24">
IFERROR(_xlfn.IFS(
$DH24="день_1",
$DR24*$BL24/($AX24-$AW24+1)*BI24*(DAY(EOMONTH(BI$15,0))),
$DH24="день_2",
$DR24/30*MAX(MIN($AX24,EOMONTH(BI$15,0))-MAX($AW24,BI$15)+1,),
$DH24="раб.день",
$DR24/30*(IFERROR(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$DR24*BI24,
$DH24="неделя",
$DR24*BI24/7*(ROUNDUP((DAY(EOMONTH(BI$15,0)))/4,0))),
0)</f>
        <v/>
      </c>
      <c r="EC24" s="121">
        <f t="array" ref="EC24">
IFERROR(_xlfn.IFS(
$DH24="день_1",
$DR24*$BL24/($AX24-$AW24+1)*BJ24*(DAY(EOMONTH(BJ$15,0))),
$DH24="день_2",
$DR24/30*MAX(MIN($AX24,EOMONTH(BJ$15,0))-MAX($AW24,BJ$15)+1,),
$DH24="раб.день",
$DR24/30*(IFERROR(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$DR24*BJ24,
$DH24="неделя",
$DR24*BJ24/7*(ROUNDUP((DAY(EOMONTH(BJ$15,0)))/4,0))),
0)</f>
        <v/>
      </c>
      <c r="ED24" s="121">
        <f t="array" ref="ED24">
IFERROR(_xlfn.IFS(
$DH24="день_1",
$DR24*$BL24/($AX24-$AW24+1)*BK24*(DAY(EOMONTH(BK$15,0))),
$DH24="день_2",
$DR24/30*MAX(MIN($AX24,EOMONTH(BK$15,0))-MAX($AW24,BK$15)+1,),
$DH24="раб.день",
$DR24/30*(IFERROR(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$DR24*BK24,
$DH24="неделя",
$DR24*BK24/7*(ROUNDUP((DAY(EOMONTH(BK$15,0)))/4,0))),
0)</f>
        <v/>
      </c>
      <c r="EE24" s="121">
        <f>SUM($DS24,$DT24,$DU24,$DV24,$DW24,$DX24,$DY24,$DZ24,$EA24,$EB24,$EC24,$ED24)</f>
        <v/>
      </c>
      <c r="EF24" s="121">
        <f>IFERROR(ROUND($EE24*(1+$EP24),2),0)</f>
        <v/>
      </c>
      <c r="EG24" s="124" t="n">
        <v>1</v>
      </c>
      <c r="EH24" s="122" t="n">
        <v>0</v>
      </c>
      <c r="EI24" s="122">
        <f>ROUND(SUM($EH24:$EH24)*SUM($AB24:$AB24)*$EG24,2)</f>
        <v/>
      </c>
      <c r="EJ24" s="122">
        <f>ROUND($EI24*(1+$EP24),2)</f>
        <v/>
      </c>
      <c r="EK24" s="122" t="n">
        <v>0</v>
      </c>
      <c r="EL24" s="122">
        <f>ROUND(SUM($EK24:$EK24)*SUM($AB24:$AB24)*$EG24,2)</f>
        <v/>
      </c>
      <c r="EM24" s="122">
        <f>ROUND($EL24*(1+$EP24),2)</f>
        <v/>
      </c>
      <c r="EN24" s="122">
        <f>SUM($EE24,$EI24,$EL24)</f>
        <v/>
      </c>
      <c r="EO24" s="122">
        <f>SUM($EF24,$EJ24,$EM24)</f>
        <v/>
      </c>
      <c r="EP24" s="59" t="n"/>
      <c r="EQ24" s="59" t="n"/>
      <c r="ER24" s="60">
        <f t="array" ref="ER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MATCH(ES24,
{"AMS";"RussOutdoor";"HD Outdoor";"Ingroup";"IQ";"Ledproduction";"LisChannel";"Logic";"Media-PPL";"NovikovTV | НовиковТВ";"SMA";"SOK";"КрокусТВ | CrocusTV | IndoorTV";"Сити";"ТЯК Москва"},
0)),"")</f>
        <v/>
      </c>
      <c r="ES24" s="60" t="n"/>
      <c r="ET24" s="60">
        <f t="array" ref="ET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MATCH(ES24,
{"AMS";"RussOutdoor";"HD Outdoor";"Ingroup";"IQ";"Ledproduction";"LisChannel";"Logic";"Media-PPL";"NovikovTV | НовиковТВ";"SMA";"SOK";"КрокусТВ | CrocusTV | IndoorTV";"Сити";"ТЯК Москва"},
0)),"")</f>
        <v/>
      </c>
      <c r="EU24" s="60" t="n"/>
      <c r="EV24" s="60" t="n"/>
      <c r="EW24" t="inlineStr">
        <is>
          <t> </t>
        </is>
      </c>
    </row>
    <row r="25">
      <c r="A25" s="59" t="n"/>
      <c r="B25" s="60" t="n"/>
      <c r="C25" s="60" t="n"/>
      <c r="D25" s="60">
        <f t="array" ref="D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5" s="60">
        <f t="array" ref="E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5" s="60" t="inlineStr"/>
      <c r="G25" s="60" t="n"/>
      <c r="H25" s="60">
        <f t="array" ref="H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5" s="60" t="n"/>
      <c r="J25" s="60" t="n"/>
      <c r="K25" s="60" t="n"/>
      <c r="L25" s="60" t="n"/>
      <c r="M25" s="60" t="n"/>
      <c r="N25" s="60" t="n"/>
      <c r="O25" s="60" t="n"/>
      <c r="P25" s="60">
        <f t="array" ref="P25">
_xlfn.IFS(
ISNUMBER(MATCH($Q25,{"шелфбаннер","разделитель","монетница","чековая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ISNUMBER(MATCH($Q25,{"каталог","журнал"},)),
"Пресса",
$Q25="","")</f>
        <v/>
      </c>
      <c r="Q25" s="60" t="n"/>
      <c r="R25" s="60">
        <f t="array" ref="R25">
IFERROR(
_xlfn.IFS(
OR(ISNUMBER(MATCH($Q25,{"экспозиция","макет","стенд","автостенд","авто стенд","выставочное пространство","выставочные стенды","модульные выставочные стенды","3Д конструкция","3D конструкция"},)),P25="Экспонирование"),
"нестандартный",
ISNUMBER(MATCH($Q25,{"скроллер","призматрон"},)),
"динамический",
$P25="Видео",
"цифровой",
OR($P25="Пресса",$P25="Щит",$P25="POSm",$P25="Подвес",$P25="Брендирование/оклейка"),
"статический"),"")</f>
        <v/>
      </c>
      <c r="S25" s="59" t="n"/>
      <c r="T25" s="60" t="n"/>
      <c r="U25" s="60" t="n"/>
      <c r="V25" s="60">
        <f>
IF(P25="Видео",
"цифровой постер/ролик",
IF(ISNUMBER(MATCH(Q25,{"короб световой","короб световой | лайтбокс","короб световой | кристалайт","лайтбокс","лайт бокс","кристалайт","LB","lightbox"},)),
"бэклит",
IF(P25="Брендирование/оклейка",
"перфарированная пленка/самоклейка",
IF(P25="Экспонирование",
"под запрос",
IF(P25="Подвес",
"баннер/ткань",
"")))))</f>
        <v/>
      </c>
      <c r="W25" s="59" t="n"/>
      <c r="X25" s="59" t="n"/>
      <c r="Y25" s="59" t="n"/>
      <c r="Z25" s="61" t="n"/>
      <c r="AA25" s="61" t="n"/>
      <c r="AB25" s="61">
        <f>IF(BL25&gt;0,Z25,0)</f>
        <v/>
      </c>
      <c r="AC25" s="59" t="n"/>
      <c r="AD25" s="59" t="n"/>
      <c r="AE25" s="59" t="n"/>
      <c r="AF25" s="59" t="n"/>
      <c r="AG25" s="59" t="n"/>
      <c r="AH25" s="59" t="e">
        <v>#VALUE!</v>
      </c>
      <c r="AI25" s="59" t="n"/>
      <c r="AJ25" s="59" t="n"/>
      <c r="AK25" s="59" t="n"/>
      <c r="AL25" s="62">
        <f>IFERROR(IF(OR(R25="статический",R25="динамический",R25="нестандартный",R25="",R25=""),"-",IF(AND(AH25="-",AI25="-"),"-",AK25*3600/AH25*AI25)),"-")</f>
        <v/>
      </c>
      <c r="AM25" s="62">
        <f>IFERROR(IF(OR(R25="статический",R25="динамический",R25="",R25="", R25="BTL",R25="нестандартный"),"-",AG25*AI25*AL25/60),"-")</f>
        <v/>
      </c>
      <c r="AN25" s="63">
        <f>IFERROR(IF(AH25="","-",AG25*AI25/AH25),"-")</f>
        <v/>
      </c>
      <c r="AO25" s="59">
        <f>IFERROR(IF(OR($R25="статический",$R25="динамический",$R25="",$R25="",$R25="BTL",$R25="нестандартный"),"-",$AL25*$AY25),"-")</f>
        <v/>
      </c>
      <c r="AP25" s="62">
        <f>IFERROR(IF(OR($R25="статический",$R25="динамический",$R25="",$R25="",$R25="BTL",$R25="нестандартный"),"-",$AM25*AY25),"-")</f>
        <v/>
      </c>
      <c r="AQ25" s="64" t="n"/>
      <c r="AR25" s="61" t="n"/>
      <c r="AS25" s="61" t="n"/>
      <c r="AT25" s="61" t="n"/>
      <c r="AU25" s="65" t="n"/>
      <c r="AV25" s="120">
        <f>IFERROR(DR25/AT25*1000,"n/a")</f>
        <v/>
      </c>
      <c r="AW25" s="67" t="n"/>
      <c r="AX25" s="67" t="n"/>
      <c r="AY25" s="43">
        <f>IFERROR(IF(OR($AW25="",$AX25=""),"",_xlfn.DAYS($AX25+1,$AW25)),"")</f>
        <v/>
      </c>
      <c r="AZ25" s="68">
        <f t="array" ref="AZ25">
_xlfn.LET(_xlpm.COEFF,
IF($AW25+$AX25=0,0,IF(MAX(MIN($AX25,EOMONTH(AZ$15,0))-MAX($AW25,AZ$15)+1,)&gt;0,1,0)),
_xlfn.IFS(
$ES25="LisChannel",
_xlpm.COEFF*
INDEX({1;1;1.2;1.2;1;1;1;1;1.2;1.2;1.2;1.2},
MATCH(MONTH(AZ$15),
{1,2,3,4,5,6,7,8,9,10,11,12})),
CONCATENATE($ES25," ",$L25)="RussOutdoor метро",
_xlpm.COEFF*
INDEX({0.8;0.9;1.1;1.1;1;1;1;1;1.1;1.1;1.1;1.1},
MATCH(MONTH(AZ$15),
{1,2,3,4,5,6,7,8,9,10,11,12})),
$ES25&lt;&gt;"LisChannel",
_xlpm.COEFF,
$ES25&lt;&gt;"RussOutdoor",
_xlpm.COEFF))</f>
        <v/>
      </c>
      <c r="BA25" s="68">
        <f t="array" ref="BA25">
_xlfn.LET(_xlpm.COEFF,
IF($AW25+$AX25=0,0,IF(MAX(MIN($AX25,EOMONTH(BA$15,0))-MAX($AW25,BA$15)+1,)&gt;0,1,0)),
_xlfn.IFS(
$ES25="LisChannel",
_xlpm.COEFF*
INDEX({1;1;1.2;1.2;1;1;1;1;1.2;1.2;1.2;1.2},
MATCH(MONTH(BA$15),
{1,2,3,4,5,6,7,8,9,10,11,12})),
CONCATENATE($ES25," ",$L25)="RussOutdoor метро",
_xlpm.COEFF*
INDEX({0.8;0.9;1.1;1.1;1;1;1;1;1.1;1.1;1.1;1.1},
MATCH(MONTH(BA$15),
{1,2,3,4,5,6,7,8,9,10,11,12})),
$ES25&lt;&gt;"LisChannel",
_xlpm.COEFF,
$ES25&lt;&gt;"RussOutdoor",
_xlpm.COEFF))</f>
        <v/>
      </c>
      <c r="BB25" s="68">
        <f t="array" ref="BB25">
_xlfn.LET(_xlpm.COEFF,
IF($AW25+$AX25=0,0,IF(MAX(MIN($AX25,EOMONTH(BB$15,0))-MAX($AW25,BB$15)+1,)&gt;0,1,0)),
_xlfn.IFS(
$ES25="LisChannel",
_xlpm.COEFF*
INDEX({1;1;1.2;1.2;1;1;1;1;1.2;1.2;1.2;1.2},
MATCH(MONTH(BB$15),
{1,2,3,4,5,6,7,8,9,10,11,12})),
CONCATENATE($ES25," ",$L25)="RussOutdoor метро",
_xlpm.COEFF*
INDEX({0.8;0.9;1.1;1.1;1;1;1;1;1.1;1.1;1.1;1.1},
MATCH(MONTH(BB$15),
{1,2,3,4,5,6,7,8,9,10,11,12})),
$ES25&lt;&gt;"LisChannel",
_xlpm.COEFF,
$ES25&lt;&gt;"RussOutdoor",
_xlpm.COEFF))</f>
        <v/>
      </c>
      <c r="BC25" s="68">
        <f t="array" ref="BC25">
_xlfn.LET(_xlpm.COEFF,
IF($AW25+$AX25=0,0,IF(MAX(MIN($AX25,EOMONTH(BC$15,0))-MAX($AW25,BC$15)+1,)&gt;0,1,0)),
_xlfn.IFS(
$ES25="LisChannel",
_xlpm.COEFF*
INDEX({1;1;1.2;1.2;1;1;1;1;1.2;1.2;1.2;1.2},
MATCH(MONTH(BC$15),
{1,2,3,4,5,6,7,8,9,10,11,12})),
CONCATENATE($ES25," ",$L25)="RussOutdoor метро",
_xlpm.COEFF*
INDEX({0.8;0.9;1.1;1.1;1;1;1;1;1.1;1.1;1.1;1.1},
MATCH(MONTH(BC$15),
{1,2,3,4,5,6,7,8,9,10,11,12})),
$ES25&lt;&gt;"LisChannel",
_xlpm.COEFF,
$ES25&lt;&gt;"RussOutdoor",
_xlpm.COEFF))</f>
        <v/>
      </c>
      <c r="BD25" s="68">
        <f t="array" ref="BD25">
_xlfn.LET(_xlpm.COEFF,
IF($AW25+$AX25=0,0,IF(MAX(MIN($AX25,EOMONTH(BD$15,0))-MAX($AW25,BD$15)+1,)&gt;0,1,0)),
_xlfn.IFS(
$ES25="LisChannel",
_xlpm.COEFF*
INDEX({1;1;1.2;1.2;1;1;1;1;1.2;1.2;1.2;1.2},
MATCH(MONTH(BD$15),
{1,2,3,4,5,6,7,8,9,10,11,12})),
CONCATENATE($ES25," ",$L25)="RussOutdoor метро",
_xlpm.COEFF*
INDEX({0.8;0.9;1.1;1.1;1;1;1;1;1.1;1.1;1.1;1.1},
MATCH(MONTH(BD$15),
{1,2,3,4,5,6,7,8,9,10,11,12})),
$ES25&lt;&gt;"LisChannel",
_xlpm.COEFF,
$ES25&lt;&gt;"RussOutdoor",
_xlpm.COEFF))</f>
        <v/>
      </c>
      <c r="BE25" s="68">
        <f t="array" ref="BE25">
_xlfn.LET(_xlpm.COEFF,
IF($AW25+$AX25=0,0,IF(MAX(MIN($AX25,EOMONTH(BE$15,0))-MAX($AW25,BE$15)+1,)&gt;0,1,0)),
_xlfn.IFS(
$ES25="LisChannel",
_xlpm.COEFF*
INDEX({1;1;1.2;1.2;1;1;1;1;1.2;1.2;1.2;1.2},
MATCH(MONTH(BE$15),
{1,2,3,4,5,6,7,8,9,10,11,12})),
CONCATENATE($ES25," ",$L25)="RussOutdoor метро",
_xlpm.COEFF*
INDEX({0.8;0.9;1.1;1.1;1;1;1;1;1.1;1.1;1.1;1.1},
MATCH(MONTH(BE$15),
{1,2,3,4,5,6,7,8,9,10,11,12})),
$ES25&lt;&gt;"LisChannel",
_xlpm.COEFF,
$ES25&lt;&gt;"RussOutdoor",
_xlpm.COEFF))</f>
        <v/>
      </c>
      <c r="BF25" s="68">
        <f t="array" ref="BF25">
_xlfn.LET(_xlpm.COEFF,
IF($AW25+$AX25=0,0,IF(MAX(MIN($AX25,EOMONTH(BF$15,0))-MAX($AW25,BF$15)+1,)&gt;0,1,0)),
_xlfn.IFS(
$ES25="LisChannel",
_xlpm.COEFF*
INDEX({1;1;1.2;1.2;1;1;1;1;1.2;1.2;1.2;1.2},
MATCH(MONTH(BF$15),
{1,2,3,4,5,6,7,8,9,10,11,12})),
CONCATENATE($ES25," ",$L25)="RussOutdoor метро",
_xlpm.COEFF*
INDEX({0.8;0.9;1.1;1.1;1;1;1;1;1.1;1.1;1.1;1.1},
MATCH(MONTH(BF$15),
{1,2,3,4,5,6,7,8,9,10,11,12})),
$ES25&lt;&gt;"LisChannel",
_xlpm.COEFF,
$ES25&lt;&gt;"RussOutdoor",
_xlpm.COEFF))</f>
        <v/>
      </c>
      <c r="BG25" s="68">
        <f t="array" ref="BG25">
_xlfn.LET(_xlpm.COEFF,
IF($AW25+$AX25=0,0,IF(MAX(MIN($AX25,EOMONTH(BG$15,0))-MAX($AW25,BG$15)+1,)&gt;0,1,0)),
_xlfn.IFS(
$ES25="LisChannel",
_xlpm.COEFF*
INDEX({1;1;1.2;1.2;1;1;1;1;1.2;1.2;1.2;1.2},
MATCH(MONTH(BG$15),
{1,2,3,4,5,6,7,8,9,10,11,12})),
CONCATENATE($ES25," ",$L25)="RussOutdoor метро",
_xlpm.COEFF*
INDEX({0.8;0.9;1.1;1.1;1;1;1;1;1.1;1.1;1.1;1.1},
MATCH(MONTH(BG$15),
{1,2,3,4,5,6,7,8,9,10,11,12})),
$ES25&lt;&gt;"LisChannel",
_xlpm.COEFF,
$ES25&lt;&gt;"RussOutdoor",
_xlpm.COEFF))</f>
        <v/>
      </c>
      <c r="BH25" s="68">
        <f t="array" ref="BH25">
_xlfn.LET(_xlpm.COEFF,
IF($AW25+$AX25=0,0,IF(MAX(MIN($AX25,EOMONTH(BH$15,0))-MAX($AW25,BH$15)+1,)&gt;0,1,0)),
_xlfn.IFS(
$ES25="LisChannel",
_xlpm.COEFF*
INDEX({1;1;1.2;1.2;1;1;1;1;1.2;1.2;1.2;1.2},
MATCH(MONTH(BH$15),
{1,2,3,4,5,6,7,8,9,10,11,12})),
CONCATENATE($ES25," ",$L25)="RussOutdoor метро",
_xlpm.COEFF*
INDEX({0.8;0.9;1.1;1.1;1;1;1;1;1.1;1.1;1.1;1.1},
MATCH(MONTH(BH$15),
{1,2,3,4,5,6,7,8,9,10,11,12})),
$ES25&lt;&gt;"LisChannel",
_xlpm.COEFF,
$ES25&lt;&gt;"RussOutdoor",
_xlpm.COEFF))</f>
        <v/>
      </c>
      <c r="BI25" s="68">
        <f t="array" ref="BI25">
_xlfn.LET(_xlpm.COEFF,
IF($AW25+$AX25=0,0,IF(MAX(MIN($AX25,EOMONTH(BI$15,0))-MAX($AW25,BI$15)+1,)&gt;0,1,0)),
_xlfn.IFS(
$ES25="LisChannel",
_xlpm.COEFF*
INDEX({1;1;1.2;1.2;1;1;1;1;1.2;1.2;1.2;1.2},
MATCH(MONTH(BI$15),
{1,2,3,4,5,6,7,8,9,10,11,12})),
CONCATENATE($ES25," ",$L25)="RussOutdoor метро",
_xlpm.COEFF*
INDEX({0.8;0.9;1.1;1.1;1;1;1;1;1.1;1.1;1.1;1.1},
MATCH(MONTH(BI$15),
{1,2,3,4,5,6,7,8,9,10,11,12})),
$ES25&lt;&gt;"LisChannel",
_xlpm.COEFF,
$ES25&lt;&gt;"RussOutdoor",
_xlpm.COEFF))</f>
        <v/>
      </c>
      <c r="BJ25" s="68">
        <f t="array" ref="BJ25">
_xlfn.LET(_xlpm.COEFF,
IF($AW25+$AX25=0,0,IF(MAX(MIN($AX25,EOMONTH(BJ$15,0))-MAX($AW25,BJ$15)+1,)&gt;0,1,0)),
_xlfn.IFS(
$ES25="LisChannel",
_xlpm.COEFF*
INDEX({1;1;1.2;1.2;1;1;1;1;1.2;1.2;1.2;1.2},
MATCH(MONTH(BJ$15),
{1,2,3,4,5,6,7,8,9,10,11,12})),
CONCATENATE($ES25," ",$L25)="RussOutdoor метро",
_xlpm.COEFF*
INDEX({0.8;0.9;1.1;1.1;1;1;1;1;1.1;1.1;1.1;1.1},
MATCH(MONTH(BJ$15),
{1,2,3,4,5,6,7,8,9,10,11,12})),
$ES25&lt;&gt;"LisChannel",
_xlpm.COEFF,
$ES25&lt;&gt;"RussOutdoor",
_xlpm.COEFF))</f>
        <v/>
      </c>
      <c r="BK25" s="68">
        <f t="array" ref="BK25">
_xlfn.LET(_xlpm.COEFF,
IF($AW25+$AX25=0,0,IF(MAX(MIN($AX25,EOMONTH(BK$15,0))-MAX($AW25,BK$15)+1,)&gt;0,1,0)),
_xlfn.IFS(
$ES25="LisChannel",
_xlpm.COEFF*
INDEX({1;1;1.2;1.2;1;1;1;1;1.2;1.2;1.2;1.2},
MATCH(MONTH(BK$15),
{1,2,3,4,5,6,7,8,9,10,11,12})),
CONCATENATE($ES25," ",$L25)="RussOutdoor метро",
_xlpm.COEFF*
INDEX({0.8;0.9;1.1;1.1;1;1;1;1;1.1;1.1;1.1;1.1},
MATCH(MONTH(BK$15),
{1,2,3,4,5,6,7,8,9,10,11,12})),
$ES25&lt;&gt;"LisChannel",
_xlpm.COEFF,
$ES25&lt;&gt;"RussOutdoor",
_xlpm.COEFF))</f>
        <v/>
      </c>
      <c r="BL25" s="62">
        <f>COUNTIFS($AZ25:$BK25,"&gt;0")</f>
        <v/>
      </c>
      <c r="BM25" s="65" t="n"/>
      <c r="BN25" s="121">
        <f>$DJ25</f>
        <v/>
      </c>
      <c r="BO25" s="63">
        <f>$DQ25</f>
        <v/>
      </c>
      <c r="BP25" s="121">
        <f>
IFERROR(
IF($BL25=0,0,
$BN25*(1-$BO25)),
0)</f>
        <v/>
      </c>
      <c r="BQ25" s="121">
        <f t="array" ref="BQ25">
IFERROR(
_xlfn.IFS(
$DH25="день_1",
$BP25*$BL25/($AX25-$AW25+1)*AZ25*(DAY(EOMONTH(AZ$15,0))),
$DH25="день_2",
$BP25/30*MAX(MIN($AX25,EOMONTH(AZ$15,0))-MAX($AW25,AZ$15)+1,),
$DH25="раб.день",
$BP25/30*(IFERROR(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$BP25*AZ25,
$DH25="неделя",
$BP25*AZ25/7*(ROUNDUP((DAY(EOMONTH(AZ$15,0)))/4,0))),
0)</f>
        <v/>
      </c>
      <c r="BR25" s="121">
        <f t="array" ref="BR25">
IFERROR(
_xlfn.IFS(
$DH25="день_1",
$BP25*$BL25/($AX25-$AW25+1)*BA25*(DAY(EOMONTH(BA$15,0))),
$DH25="день_2",
$BP25/30*MAX(MIN($AX25,EOMONTH(BA$15,0))-MAX($AW25,BA$15)+1,),
$DH25="раб.день",
$BP25/30*(IFERROR(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$BP25*BA25,
$DH25="неделя",
$BP25*BA25/7*(ROUNDUP((DAY(EOMONTH(BA$15,0)))/4,0))),
0)</f>
        <v/>
      </c>
      <c r="BS25" s="121">
        <f t="array" ref="BS25">
IFERROR(
_xlfn.IFS(
$DH25="день_1",
$BP25*$BL25/($AX25-$AW25+1)*BB25*(DAY(EOMONTH(BB$15,0))),
$DH25="день_2",
$BP25/30*MAX(MIN($AX25,EOMONTH(BB$15,0))-MAX($AW25,BB$15)+1,),
$DH25="раб.день",
$BP25/30*(IFERROR(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$BP25*BB25,
$DH25="неделя",
$BP25*BB25/7*(ROUNDUP((DAY(EOMONTH(BB$15,0)))/4,0))),
0)</f>
        <v/>
      </c>
      <c r="BT25" s="121">
        <f t="array" ref="BT25">
IFERROR(
_xlfn.IFS(
$DH25="день_1",
$BP25*$BL25/($AX25-$AW25+1)*BC25*(DAY(EOMONTH(BC$15,0))),
$DH25="день_2",
$BP25/30*MAX(MIN($AX25,EOMONTH(BC$15,0))-MAX($AW25,BC$15)+1,),
$DH25="раб.день",
$BP25/30*(IFERROR(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$BP25*BC25,
$DH25="неделя",
$BP25*BC25/7*(ROUNDUP((DAY(EOMONTH(BC$15,0)))/4,0))),
0)</f>
        <v/>
      </c>
      <c r="BU25" s="121">
        <f t="array" ref="BU25">
IFERROR(
_xlfn.IFS(
$DH25="день_1",
$BP25*$BL25/($AX25-$AW25+1)*BD25*(DAY(EOMONTH(BD$15,0))),
$DH25="день_2",
$BP25/30*MAX(MIN($AX25,EOMONTH(BD$15,0))-MAX($AW25,BD$15)+1,),
$DH25="раб.день",
$BP25/30*(IFERROR(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$BP25*BD25,
$DH25="неделя",
$BP25*BD25/7*(ROUNDUP((DAY(EOMONTH(BD$15,0)))/4,0))),
0)</f>
        <v/>
      </c>
      <c r="BV25" s="121">
        <f t="array" ref="BV25">
IFERROR(
_xlfn.IFS(
$DH25="день_1",
$BP25*$BL25/($AX25-$AW25+1)*BE25*(DAY(EOMONTH(BE$15,0))),
$DH25="день_2",
$BP25/30*MAX(MIN($AX25,EOMONTH(BE$15,0))-MAX($AW25,BE$15)+1,),
$DH25="раб.день",
$BP25/30*(IFERROR(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$BP25*BE25,
$DH25="неделя",
$BP25*BE25/7*(ROUNDUP((DAY(EOMONTH(BE$15,0)))/4,0))),
0)</f>
        <v/>
      </c>
      <c r="BW25" s="121">
        <f t="array" ref="BW25">
IFERROR(
_xlfn.IFS(
$DH25="день_1",
$BP25*$BL25/($AX25-$AW25+1)*BF25*(DAY(EOMONTH(BF$15,0))),
$DH25="день_2",
$BP25/30*MAX(MIN($AX25,EOMONTH(BF$15,0))-MAX($AW25,BF$15)+1,),
$DH25="раб.день",
$BP25/30*(IFERROR(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$BP25*BF25,
$DH25="неделя",
$BP25*BF25/7*(ROUNDUP((DAY(EOMONTH(BF$15,0)))/4,0))),
0)</f>
        <v/>
      </c>
      <c r="BX25" s="121">
        <f t="array" ref="BX25">
IFERROR(
_xlfn.IFS(
$DH25="день_1",
$BP25*$BL25/($AX25-$AW25+1)*BG25*(DAY(EOMONTH(BG$15,0))),
$DH25="день_2",
$BP25/30*MAX(MIN($AX25,EOMONTH(BG$15,0))-MAX($AW25,BG$15)+1,),
$DH25="раб.день",
$BP25/30*(IFERROR(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$BP25*BG25,
$DH25="неделя",
$BP25*BG25/7*(ROUNDUP((DAY(EOMONTH(BG$15,0)))/4,0))),
0)</f>
        <v/>
      </c>
      <c r="BY25" s="121">
        <f t="array" ref="BY25">
IFERROR(
_xlfn.IFS(
$DH25="день_1",
$BP25*$BL25/($AX25-$AW25+1)*BH25*(DAY(EOMONTH(BH$15,0))),
$DH25="день_2",
$BP25/30*MAX(MIN($AX25,EOMONTH(BH$15,0))-MAX($AW25,BH$15)+1,),
$DH25="раб.день",
$BP25/30*(IFERROR(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$BP25*BH25,
$DH25="неделя",
$BP25*BH25/7*(ROUNDUP((DAY(EOMONTH(BH$15,0)))/4,0))),
0)</f>
        <v/>
      </c>
      <c r="BZ25" s="121">
        <f t="array" ref="BZ25">
IFERROR(
_xlfn.IFS(
$DH25="день_1",
$BP25*$BL25/($AX25-$AW25+1)*BI25*(DAY(EOMONTH(BI$15,0))),
$DH25="день_2",
$BP25/30*MAX(MIN($AX25,EOMONTH(BI$15,0))-MAX($AW25,BI$15)+1,),
$DH25="раб.день",
$BP25/30*(IFERROR(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$BP25*BI25,
$DH25="неделя",
$BP25*BI25/7*(ROUNDUP((DAY(EOMONTH(BI$15,0)))/4,0))),
0)</f>
        <v/>
      </c>
      <c r="CA25" s="121">
        <f t="array" ref="CA25">
IFERROR(
_xlfn.IFS(
$DH25="день_1",
$BP25*$BL25/($AX25-$AW25+1)*BJ25*(DAY(EOMONTH(BJ$15,0))),
$DH25="день_2",
$BP25/30*MAX(MIN($AX25,EOMONTH(BJ$15,0))-MAX($AW25,BJ$15)+1,),
$DH25="раб.день",
$BP25/30*(IFERROR(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$BP25*BJ25,
$DH25="неделя",
$BP25*BJ25/7*(ROUNDUP((DAY(EOMONTH(BJ$15,0)))/4,0))),
0)</f>
        <v/>
      </c>
      <c r="CB25" s="121">
        <f t="array" ref="CB25">
IFERROR(
_xlfn.IFS(
$DH25="день_1",
$BP25*$BL25/($AX25-$AW25+1)*BK25*(DAY(EOMONTH(BK$15,0))),
$DH25="день_2",
$BP25/30*MAX(MIN($AX25,EOMONTH(BK$15,0))-MAX($AW25,BK$15)+1,),
$DH25="раб.день",
$BP25/30*(IFERROR(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$BP25*BK25,
$DH25="неделя",
$BP25*BK25/7*(ROUNDUP((DAY(EOMONTH(BK$15,0)))/4,0))),
0)</f>
        <v/>
      </c>
      <c r="CC25" s="121">
        <f>SUM($BQ25:$CB25)</f>
        <v/>
      </c>
      <c r="CD25" s="122">
        <f>SUM($EH25:$EH25)</f>
        <v/>
      </c>
      <c r="CE25" s="122">
        <f>$CD25*$AB25</f>
        <v/>
      </c>
      <c r="CF25" s="122">
        <f>SUM($EK25:$EK25)</f>
        <v/>
      </c>
      <c r="CG25" s="122">
        <f>$CF25*$AB25</f>
        <v/>
      </c>
      <c r="CH25" s="122">
        <f>SUM($CC25,$CE25,$CG25)</f>
        <v/>
      </c>
      <c r="CI25" s="122">
        <f>$CH25*(1+$CM25)</f>
        <v/>
      </c>
      <c r="CJ25" s="123" t="n">
        <v>0</v>
      </c>
      <c r="CK25" s="122">
        <f>SUM($CH25:$CH25)*(1+$CJ25)</f>
        <v/>
      </c>
      <c r="CL25" s="122">
        <f>SUM($CH25:$CH25)*(1+$CM25)</f>
        <v/>
      </c>
      <c r="CM25" s="59" t="n"/>
      <c r="CN25" s="59" t="n"/>
      <c r="CO25" s="72" t="n"/>
      <c r="CP25" s="59" t="n"/>
      <c r="CQ25" s="73" t="n"/>
      <c r="CR25" s="73" t="n"/>
      <c r="CS25" s="73" t="n"/>
      <c r="CT25" s="72" t="n"/>
      <c r="CU25" s="79" t="inlineStr">
        <is>
          <t> </t>
        </is>
      </c>
      <c r="CV25" s="60" t="n"/>
      <c r="CW25" s="60" t="n"/>
      <c r="CX25" s="60" t="n"/>
      <c r="CY25" s="123">
        <f>IFERROR(($CC25-$EE25)/($EE25/(1-$DQ25)),0)</f>
        <v/>
      </c>
      <c r="CZ25" s="123">
        <f>IFERROR(1-$EI25/($CE25),0)</f>
        <v/>
      </c>
      <c r="DA25" s="123">
        <f>IFERROR(1-$EL25/($CG25),0)</f>
        <v/>
      </c>
      <c r="DB25" s="122">
        <f>ROUND(IFERROR(($CI25/(1+$CM25)-$EN25),0),2)</f>
        <v/>
      </c>
      <c r="DC25" s="124" t="n"/>
      <c r="DD25" s="121" t="n"/>
      <c r="DE25" s="75" t="n">
        <v>0</v>
      </c>
      <c r="DF25" s="124" t="n"/>
      <c r="DG25" s="121">
        <f>IF($DC25=0,0,$DD25*($DC25*100%-$DE25*$DF25))*SUM($AB25:$AB25)</f>
        <v/>
      </c>
      <c r="DH25" s="125" t="inlineStr">
        <is>
          <t>месяц</t>
        </is>
      </c>
      <c r="DI25" s="126">
        <f t="array" ref="DI25">IFERROR(
IF($ES25="LisChannel",
(ROUND(((INDEX({174.625;153.888888888889;130.972222222222},MATCH($AI25,{2;3;4}),0))*$AG25*$AI25),2)),0),0)</f>
        <v/>
      </c>
      <c r="DJ25" s="126">
        <f>
_xlfn.LET(_xlpm.X,
IFERROR(
IF($ES25="НовиковТВ",
(_xlfn.LET(_xlpm.NTV,
_xlfn.LET(_xlpm.MIN,350000,
IF(SUMIFS($DI:$DI,$ES:$ES,"НовиковТВ")&lt;=_xlpm.MIN,
(SUMIFS($DI:$DI,$ES:$ES,"НовиковТВ")/(COUNTIFS($ES:$ES,"НовиковТВ")))*_xlpm.MIN/SUMIFS($DI:$DI,$ES:$ES,"НовиковТВ"),
DI25)),
_xlpm.NTV+$DG25/(1-(1-(_xlpm.NTV)*(1-$DL25)*(1-$DM25)*(1-$DN25)*(1-$DO25)*(1-$DP25)/_xlpm.NTV))))/(1+$EP25),
$DI25+$DG25/(1-(1-($DI25)*(1-$DL25)*(1-$DM25)*(1-$DN25)*(1-$DO25)*(1-$DP25)/$DI25))),
0),
_xlpm.X*(1+$CM25)*(1+$CW25)-_xlpm.X*(1+$CM25)+_xlpm.X)</f>
        <v/>
      </c>
      <c r="DK25" s="121" t="inlineStr">
        <is>
          <t>послед.</t>
        </is>
      </c>
      <c r="DL25" s="63" t="n">
        <v>0</v>
      </c>
      <c r="DM25" s="63" t="n">
        <v>0</v>
      </c>
      <c r="DN25" s="63" t="n">
        <v>0</v>
      </c>
      <c r="DO25" s="63" t="n">
        <v>0</v>
      </c>
      <c r="DP25" s="63" t="n">
        <v>0</v>
      </c>
      <c r="DQ25" s="63">
        <f t="array" ref="DQ25">IFERROR(_xlfn.IFS(
$DK25="послед.",1-(1-$DL25)*(1-$DM25)*(1-$DN25)*(1-$DO25)*(1-$DP25),
$DK25="сумм.",$DL25+$DM25+$DN25+$DO25+$DP25),
0)</f>
        <v/>
      </c>
      <c r="DR25" s="121">
        <f t="array" ref="DR25">
IFERROR(
_xlfn.IFS(
$BL25=0,
0,
$BL25&gt;0,
_xlfn.IFS($DK25="послед.",
$DJ25*(1-$DL25)*(1-$DM25)*(1-$DN25)*(1-$DO25)*(1-$DP25),
$DK25="сумм.",
$DJ25*(1-($DL25+$DM25+$DN25+$DO25+$DP25)))),0)</f>
        <v/>
      </c>
      <c r="DS25" s="121">
        <f t="array" ref="DS25">
IFERROR(_xlfn.IFS(
$DH25="день_1",
$DR25*$BL25/($AX25-$AW25+1)*AZ25*(DAY(EOMONTH(AZ$15,0))),
$DH25="день_2",
$DR25/30*MAX(MIN($AX25,EOMONTH(AZ$15,0))-MAX($AW25,AZ$15)+1,),
$DH25="раб.день",
$DR25/30*(IFERROR(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$DR25*AZ25,
$DH25="неделя",
$DR25*AZ25/7*(ROUNDUP((DAY(EOMONTH(AZ$15,0)))/4,0))),
0)</f>
        <v/>
      </c>
      <c r="DT25" s="121">
        <f t="array" ref="DT25">
IFERROR(_xlfn.IFS(
$DH25="день_1",
$DR25*$BL25/($AX25-$AW25+1)*BA25*(DAY(EOMONTH(BA$15,0))),
$DH25="день_2",
$DR25/30*MAX(MIN($AX25,EOMONTH(BA$15,0))-MAX($AW25,BA$15)+1,),
$DH25="раб.день",
$DR25/30*(IFERROR(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$DR25*BA25,
$DH25="неделя",
$DR25*BA25/7*(ROUNDUP((DAY(EOMONTH(BA$15,0)))/4,0))),
0)</f>
        <v/>
      </c>
      <c r="DU25" s="121">
        <f t="array" ref="DU25">
IFERROR(_xlfn.IFS(
$DH25="день_1",
$DR25*$BL25/($AX25-$AW25+1)*BB25*(DAY(EOMONTH(BB$15,0))),
$DH25="день_2",
$DR25/30*MAX(MIN($AX25,EOMONTH(BB$15,0))-MAX($AW25,BB$15)+1,),
$DH25="раб.день",
$DR25/30*(IFERROR(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$DR25*BB25,
$DH25="неделя",
$DR25*BB25/7*(ROUNDUP((DAY(EOMONTH(BB$15,0)))/4,0))),
0)</f>
        <v/>
      </c>
      <c r="DV25" s="121">
        <f t="array" ref="DV25">
IFERROR(_xlfn.IFS(
$DH25="день_1",
$DR25*$BL25/($AX25-$AW25+1)*BC25*(DAY(EOMONTH(BC$15,0))),
$DH25="день_2",
$DR25/30*MAX(MIN($AX25,EOMONTH(BC$15,0))-MAX($AW25,BC$15)+1,),
$DH25="раб.день",
$DR25/30*(IFERROR(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$DR25*BC25,
$DH25="неделя",
$DR25*BC25/7*(ROUNDUP((DAY(EOMONTH(BC$15,0)))/4,0))),
0)</f>
        <v/>
      </c>
      <c r="DW25" s="121">
        <f t="array" ref="DW25">
IFERROR(_xlfn.IFS(
$DH25="день_1",
$DR25*$BL25/($AX25-$AW25+1)*BD25*(DAY(EOMONTH(BD$15,0))),
$DH25="день_2",
$DR25/30*MAX(MIN($AX25,EOMONTH(BD$15,0))-MAX($AW25,BD$15)+1,),
$DH25="раб.день",
$DR25/30*(IFERROR(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$DR25*BD25,
$DH25="неделя",
$DR25*BD25/7*(ROUNDUP((DAY(EOMONTH(BD$15,0)))/4,0))),
0)</f>
        <v/>
      </c>
      <c r="DX25" s="121">
        <f t="array" ref="DX25">
IFERROR(_xlfn.IFS(
$DH25="день_1",
$DR25*$BL25/($AX25-$AW25+1)*BE25*(DAY(EOMONTH(BE$15,0))),
$DH25="день_2",
$DR25/30*MAX(MIN($AX25,EOMONTH(BE$15,0))-MAX($AW25,BE$15)+1,),
$DH25="раб.день",
$DR25/30*(IFERROR(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$DR25*BE25,
$DH25="неделя",
$DR25*BE25/7*(ROUNDUP((DAY(EOMONTH(BE$15,0)))/4,0))),
0)</f>
        <v/>
      </c>
      <c r="DY25" s="121">
        <f t="array" ref="DY25">
IFERROR(_xlfn.IFS(
$DH25="день_1",
$DR25*$BL25/($AX25-$AW25+1)*BF25*(DAY(EOMONTH(BF$15,0))),
$DH25="день_2",
$DR25/30*MAX(MIN($AX25,EOMONTH(BF$15,0))-MAX($AW25,BF$15)+1,),
$DH25="раб.день",
$DR25/30*(IFERROR(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$DR25*BF25,
$DH25="неделя",
$DR25*BF25/7*(ROUNDUP((DAY(EOMONTH(BF$15,0)))/4,0))),
0)</f>
        <v/>
      </c>
      <c r="DZ25" s="121">
        <f t="array" ref="DZ25">
IFERROR(_xlfn.IFS(
$DH25="день_1",
$DR25*$BL25/($AX25-$AW25+1)*BG25*(DAY(EOMONTH(BG$15,0))),
$DH25="день_2",
$DR25/30*MAX(MIN($AX25,EOMONTH(BG$15,0))-MAX($AW25,BG$15)+1,),
$DH25="раб.день",
$DR25/30*(IFERROR(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$DR25*BG25,
$DH25="неделя",
$DR25*BG25/7*(ROUNDUP((DAY(EOMONTH(BG$15,0)))/4,0))),
0)</f>
        <v/>
      </c>
      <c r="EA25" s="121">
        <f t="array" ref="EA25">
IFERROR(_xlfn.IFS(
$DH25="день_1",
$DR25*$BL25/($AX25-$AW25+1)*BH25*(DAY(EOMONTH(BH$15,0))),
$DH25="день_2",
$DR25/30*MAX(MIN($AX25,EOMONTH(BH$15,0))-MAX($AW25,BH$15)+1,),
$DH25="раб.день",
$DR25/30*(IFERROR(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$DR25*BH25,
$DH25="неделя",
$DR25*BH25/7*(ROUNDUP((DAY(EOMONTH(BH$15,0)))/4,0))),
0)</f>
        <v/>
      </c>
      <c r="EB25" s="121">
        <f t="array" ref="EB25">
IFERROR(_xlfn.IFS(
$DH25="день_1",
$DR25*$BL25/($AX25-$AW25+1)*BI25*(DAY(EOMONTH(BI$15,0))),
$DH25="день_2",
$DR25/30*MAX(MIN($AX25,EOMONTH(BI$15,0))-MAX($AW25,BI$15)+1,),
$DH25="раб.день",
$DR25/30*(IFERROR(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$DR25*BI25,
$DH25="неделя",
$DR25*BI25/7*(ROUNDUP((DAY(EOMONTH(BI$15,0)))/4,0))),
0)</f>
        <v/>
      </c>
      <c r="EC25" s="121">
        <f t="array" ref="EC25">
IFERROR(_xlfn.IFS(
$DH25="день_1",
$DR25*$BL25/($AX25-$AW25+1)*BJ25*(DAY(EOMONTH(BJ$15,0))),
$DH25="день_2",
$DR25/30*MAX(MIN($AX25,EOMONTH(BJ$15,0))-MAX($AW25,BJ$15)+1,),
$DH25="раб.день",
$DR25/30*(IFERROR(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$DR25*BJ25,
$DH25="неделя",
$DR25*BJ25/7*(ROUNDUP((DAY(EOMONTH(BJ$15,0)))/4,0))),
0)</f>
        <v/>
      </c>
      <c r="ED25" s="121">
        <f t="array" ref="ED25">
IFERROR(_xlfn.IFS(
$DH25="день_1",
$DR25*$BL25/($AX25-$AW25+1)*BK25*(DAY(EOMONTH(BK$15,0))),
$DH25="день_2",
$DR25/30*MAX(MIN($AX25,EOMONTH(BK$15,0))-MAX($AW25,BK$15)+1,),
$DH25="раб.день",
$DR25/30*(IFERROR(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$DR25*BK25,
$DH25="неделя",
$DR25*BK25/7*(ROUNDUP((DAY(EOMONTH(BK$15,0)))/4,0))),
0)</f>
        <v/>
      </c>
      <c r="EE25" s="121">
        <f>SUM($DS25,$DT25,$DU25,$DV25,$DW25,$DX25,$DY25,$DZ25,$EA25,$EB25,$EC25,$ED25)</f>
        <v/>
      </c>
      <c r="EF25" s="121">
        <f>IFERROR(ROUND($EE25*(1+$EP25),2),0)</f>
        <v/>
      </c>
      <c r="EG25" s="124" t="n">
        <v>1</v>
      </c>
      <c r="EH25" s="122" t="n">
        <v>0</v>
      </c>
      <c r="EI25" s="122">
        <f>ROUND(SUM($EH25:$EH25)*SUM($AB25:$AB25)*$EG25,2)</f>
        <v/>
      </c>
      <c r="EJ25" s="122">
        <f>ROUND($EI25*(1+$EP25),2)</f>
        <v/>
      </c>
      <c r="EK25" s="122" t="n">
        <v>0</v>
      </c>
      <c r="EL25" s="122">
        <f>ROUND(SUM($EK25:$EK25)*SUM($AB25:$AB25)*$EG25,2)</f>
        <v/>
      </c>
      <c r="EM25" s="122">
        <f>ROUND($EL25*(1+$EP25),2)</f>
        <v/>
      </c>
      <c r="EN25" s="122">
        <f>SUM($EE25,$EI25,$EL25)</f>
        <v/>
      </c>
      <c r="EO25" s="122">
        <f>SUM($EF25,$EJ25,$EM25)</f>
        <v/>
      </c>
      <c r="EP25" s="59" t="n"/>
      <c r="EQ25" s="59" t="n"/>
      <c r="ER25" s="60">
        <f t="array" ref="ER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MATCH(ES25,
{"AMS";"RussOutdoor";"HD Outdoor";"Ingroup";"IQ";"Ledproduction";"LisChannel";"Logic";"Media-PPL";"NovikovTV | НовиковТВ";"SMA";"SOK";"КрокусТВ | CrocusTV | IndoorTV";"Сити";"ТЯК Москва"},
0)),"")</f>
        <v/>
      </c>
      <c r="ES25" s="60" t="n"/>
      <c r="ET25" s="60">
        <f t="array" ref="ET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MATCH(ES25,
{"AMS";"RussOutdoor";"HD Outdoor";"Ingroup";"IQ";"Ledproduction";"LisChannel";"Logic";"Media-PPL";"NovikovTV | НовиковТВ";"SMA";"SOK";"КрокусТВ | CrocusTV | IndoorTV";"Сити";"ТЯК Москва"},
0)),"")</f>
        <v/>
      </c>
      <c r="EU25" s="60" t="n"/>
      <c r="EV25" s="60" t="n"/>
      <c r="EW25" t="inlineStr">
        <is>
          <t> </t>
        </is>
      </c>
    </row>
    <row r="26">
      <c r="A26" s="59" t="n"/>
      <c r="B26" s="60" t="n"/>
      <c r="C26" s="60" t="n"/>
      <c r="D26" s="60">
        <f t="array" ref="D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6" s="60">
        <f t="array" ref="E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6" s="60" t="inlineStr"/>
      <c r="G26" s="60" t="n"/>
      <c r="H26" s="60">
        <f t="array" ref="H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6" s="60" t="n"/>
      <c r="J26" s="60" t="n"/>
      <c r="K26" s="60" t="n"/>
      <c r="L26" s="60" t="n"/>
      <c r="M26" s="60" t="n"/>
      <c r="N26" s="60" t="n"/>
      <c r="O26" s="60" t="n"/>
      <c r="P26" s="60">
        <f t="array" ref="P26">
_xlfn.IFS(
ISNUMBER(MATCH($Q26,{"шелфбаннер","разделитель","монетница","чековая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ISNUMBER(MATCH($Q26,{"каталог","журнал"},)),
"Пресса",
$Q26="","")</f>
        <v/>
      </c>
      <c r="Q26" s="60" t="n"/>
      <c r="R26" s="60">
        <f t="array" ref="R26">
IFERROR(
_xlfn.IFS(
OR(ISNUMBER(MATCH($Q26,{"экспозиция","макет","стенд","автостенд","авто стенд","выставочное пространство","выставочные стенды","модульные выставочные стенды","3Д конструкция","3D конструкция"},)),P26="Экспонирование"),
"нестандартный",
ISNUMBER(MATCH($Q26,{"скроллер","призматрон"},)),
"динамический",
$P26="Видео",
"цифровой",
OR($P26="Пресса",$P26="Щит",$P26="POSm",$P26="Подвес",$P26="Брендирование/оклейка"),
"статический"),"")</f>
        <v/>
      </c>
      <c r="S26" s="59" t="n"/>
      <c r="T26" s="60" t="n"/>
      <c r="U26" s="60" t="n"/>
      <c r="V26" s="60">
        <f>
IF(P26="Видео",
"цифровой постер/ролик",
IF(ISNUMBER(MATCH(Q26,{"короб световой","короб световой | лайтбокс","короб световой | кристалайт","лайтбокс","лайт бокс","кристалайт","LB","lightbox"},)),
"бэклит",
IF(P26="Брендирование/оклейка",
"перфарированная пленка/самоклейка",
IF(P26="Экспонирование",
"под запрос",
IF(P26="Подвес",
"баннер/ткань",
"")))))</f>
        <v/>
      </c>
      <c r="W26" s="59" t="n"/>
      <c r="X26" s="59" t="n"/>
      <c r="Y26" s="59" t="n"/>
      <c r="Z26" s="61" t="n"/>
      <c r="AA26" s="61" t="n"/>
      <c r="AB26" s="61">
        <f>IF(BL26&gt;0,Z26,0)</f>
        <v/>
      </c>
      <c r="AC26" s="59" t="n"/>
      <c r="AD26" s="59" t="n"/>
      <c r="AE26" s="59" t="n"/>
      <c r="AF26" s="59" t="n"/>
      <c r="AG26" s="59" t="n"/>
      <c r="AH26" s="59" t="e">
        <v>#VALUE!</v>
      </c>
      <c r="AI26" s="59" t="n"/>
      <c r="AJ26" s="59" t="n"/>
      <c r="AK26" s="59" t="n"/>
      <c r="AL26" s="62">
        <f>IFERROR(IF(OR(R26="статический",R26="динамический",R26="нестандартный",R26="",R26=""),"-",IF(AND(AH26="-",AI26="-"),"-",AK26*3600/AH26*AI26)),"-")</f>
        <v/>
      </c>
      <c r="AM26" s="62">
        <f>IFERROR(IF(OR(R26="статический",R26="динамический",R26="",R26="", R26="BTL",R26="нестандартный"),"-",AG26*AI26*AL26/60),"-")</f>
        <v/>
      </c>
      <c r="AN26" s="63">
        <f>IFERROR(IF(AH26="","-",AG26*AI26/AH26),"-")</f>
        <v/>
      </c>
      <c r="AO26" s="59">
        <f>IFERROR(IF(OR($R26="статический",$R26="динамический",$R26="",$R26="",$R26="BTL",$R26="нестандартный"),"-",$AL26*$AY26),"-")</f>
        <v/>
      </c>
      <c r="AP26" s="62">
        <f>IFERROR(IF(OR($R26="статический",$R26="динамический",$R26="",$R26="",$R26="BTL",$R26="нестандартный"),"-",$AM26*AY26),"-")</f>
        <v/>
      </c>
      <c r="AQ26" s="64" t="n"/>
      <c r="AR26" s="61" t="n"/>
      <c r="AS26" s="61" t="n"/>
      <c r="AT26" s="61" t="n"/>
      <c r="AU26" s="65" t="n"/>
      <c r="AV26" s="120">
        <f>IFERROR(DR26/AT26*1000,"n/a")</f>
        <v/>
      </c>
      <c r="AW26" s="67" t="n"/>
      <c r="AX26" s="67" t="n"/>
      <c r="AY26" s="43">
        <f>IFERROR(IF(OR($AW26="",$AX26=""),"",_xlfn.DAYS($AX26+1,$AW26)),"")</f>
        <v/>
      </c>
      <c r="AZ26" s="68">
        <f t="array" ref="AZ26">
_xlfn.LET(_xlpm.COEFF,
IF($AW26+$AX26=0,0,IF(MAX(MIN($AX26,EOMONTH(AZ$15,0))-MAX($AW26,AZ$15)+1,)&gt;0,1,0)),
_xlfn.IFS(
$ES26="LisChannel",
_xlpm.COEFF*
INDEX({1;1;1.2;1.2;1;1;1;1;1.2;1.2;1.2;1.2},
MATCH(MONTH(AZ$15),
{1,2,3,4,5,6,7,8,9,10,11,12})),
CONCATENATE($ES26," ",$L26)="RussOutdoor метро",
_xlpm.COEFF*
INDEX({0.8;0.9;1.1;1.1;1;1;1;1;1.1;1.1;1.1;1.1},
MATCH(MONTH(AZ$15),
{1,2,3,4,5,6,7,8,9,10,11,12})),
$ES26&lt;&gt;"LisChannel",
_xlpm.COEFF,
$ES26&lt;&gt;"RussOutdoor",
_xlpm.COEFF))</f>
        <v/>
      </c>
      <c r="BA26" s="68">
        <f t="array" ref="BA26">
_xlfn.LET(_xlpm.COEFF,
IF($AW26+$AX26=0,0,IF(MAX(MIN($AX26,EOMONTH(BA$15,0))-MAX($AW26,BA$15)+1,)&gt;0,1,0)),
_xlfn.IFS(
$ES26="LisChannel",
_xlpm.COEFF*
INDEX({1;1;1.2;1.2;1;1;1;1;1.2;1.2;1.2;1.2},
MATCH(MONTH(BA$15),
{1,2,3,4,5,6,7,8,9,10,11,12})),
CONCATENATE($ES26," ",$L26)="RussOutdoor метро",
_xlpm.COEFF*
INDEX({0.8;0.9;1.1;1.1;1;1;1;1;1.1;1.1;1.1;1.1},
MATCH(MONTH(BA$15),
{1,2,3,4,5,6,7,8,9,10,11,12})),
$ES26&lt;&gt;"LisChannel",
_xlpm.COEFF,
$ES26&lt;&gt;"RussOutdoor",
_xlpm.COEFF))</f>
        <v/>
      </c>
      <c r="BB26" s="68">
        <f t="array" ref="BB26">
_xlfn.LET(_xlpm.COEFF,
IF($AW26+$AX26=0,0,IF(MAX(MIN($AX26,EOMONTH(BB$15,0))-MAX($AW26,BB$15)+1,)&gt;0,1,0)),
_xlfn.IFS(
$ES26="LisChannel",
_xlpm.COEFF*
INDEX({1;1;1.2;1.2;1;1;1;1;1.2;1.2;1.2;1.2},
MATCH(MONTH(BB$15),
{1,2,3,4,5,6,7,8,9,10,11,12})),
CONCATENATE($ES26," ",$L26)="RussOutdoor метро",
_xlpm.COEFF*
INDEX({0.8;0.9;1.1;1.1;1;1;1;1;1.1;1.1;1.1;1.1},
MATCH(MONTH(BB$15),
{1,2,3,4,5,6,7,8,9,10,11,12})),
$ES26&lt;&gt;"LisChannel",
_xlpm.COEFF,
$ES26&lt;&gt;"RussOutdoor",
_xlpm.COEFF))</f>
        <v/>
      </c>
      <c r="BC26" s="68">
        <f t="array" ref="BC26">
_xlfn.LET(_xlpm.COEFF,
IF($AW26+$AX26=0,0,IF(MAX(MIN($AX26,EOMONTH(BC$15,0))-MAX($AW26,BC$15)+1,)&gt;0,1,0)),
_xlfn.IFS(
$ES26="LisChannel",
_xlpm.COEFF*
INDEX({1;1;1.2;1.2;1;1;1;1;1.2;1.2;1.2;1.2},
MATCH(MONTH(BC$15),
{1,2,3,4,5,6,7,8,9,10,11,12})),
CONCATENATE($ES26," ",$L26)="RussOutdoor метро",
_xlpm.COEFF*
INDEX({0.8;0.9;1.1;1.1;1;1;1;1;1.1;1.1;1.1;1.1},
MATCH(MONTH(BC$15),
{1,2,3,4,5,6,7,8,9,10,11,12})),
$ES26&lt;&gt;"LisChannel",
_xlpm.COEFF,
$ES26&lt;&gt;"RussOutdoor",
_xlpm.COEFF))</f>
        <v/>
      </c>
      <c r="BD26" s="68">
        <f t="array" ref="BD26">
_xlfn.LET(_xlpm.COEFF,
IF($AW26+$AX26=0,0,IF(MAX(MIN($AX26,EOMONTH(BD$15,0))-MAX($AW26,BD$15)+1,)&gt;0,1,0)),
_xlfn.IFS(
$ES26="LisChannel",
_xlpm.COEFF*
INDEX({1;1;1.2;1.2;1;1;1;1;1.2;1.2;1.2;1.2},
MATCH(MONTH(BD$15),
{1,2,3,4,5,6,7,8,9,10,11,12})),
CONCATENATE($ES26," ",$L26)="RussOutdoor метро",
_xlpm.COEFF*
INDEX({0.8;0.9;1.1;1.1;1;1;1;1;1.1;1.1;1.1;1.1},
MATCH(MONTH(BD$15),
{1,2,3,4,5,6,7,8,9,10,11,12})),
$ES26&lt;&gt;"LisChannel",
_xlpm.COEFF,
$ES26&lt;&gt;"RussOutdoor",
_xlpm.COEFF))</f>
        <v/>
      </c>
      <c r="BE26" s="68">
        <f t="array" ref="BE26">
_xlfn.LET(_xlpm.COEFF,
IF($AW26+$AX26=0,0,IF(MAX(MIN($AX26,EOMONTH(BE$15,0))-MAX($AW26,BE$15)+1,)&gt;0,1,0)),
_xlfn.IFS(
$ES26="LisChannel",
_xlpm.COEFF*
INDEX({1;1;1.2;1.2;1;1;1;1;1.2;1.2;1.2;1.2},
MATCH(MONTH(BE$15),
{1,2,3,4,5,6,7,8,9,10,11,12})),
CONCATENATE($ES26," ",$L26)="RussOutdoor метро",
_xlpm.COEFF*
INDEX({0.8;0.9;1.1;1.1;1;1;1;1;1.1;1.1;1.1;1.1},
MATCH(MONTH(BE$15),
{1,2,3,4,5,6,7,8,9,10,11,12})),
$ES26&lt;&gt;"LisChannel",
_xlpm.COEFF,
$ES26&lt;&gt;"RussOutdoor",
_xlpm.COEFF))</f>
        <v/>
      </c>
      <c r="BF26" s="68">
        <f t="array" ref="BF26">
_xlfn.LET(_xlpm.COEFF,
IF($AW26+$AX26=0,0,IF(MAX(MIN($AX26,EOMONTH(BF$15,0))-MAX($AW26,BF$15)+1,)&gt;0,1,0)),
_xlfn.IFS(
$ES26="LisChannel",
_xlpm.COEFF*
INDEX({1;1;1.2;1.2;1;1;1;1;1.2;1.2;1.2;1.2},
MATCH(MONTH(BF$15),
{1,2,3,4,5,6,7,8,9,10,11,12})),
CONCATENATE($ES26," ",$L26)="RussOutdoor метро",
_xlpm.COEFF*
INDEX({0.8;0.9;1.1;1.1;1;1;1;1;1.1;1.1;1.1;1.1},
MATCH(MONTH(BF$15),
{1,2,3,4,5,6,7,8,9,10,11,12})),
$ES26&lt;&gt;"LisChannel",
_xlpm.COEFF,
$ES26&lt;&gt;"RussOutdoor",
_xlpm.COEFF))</f>
        <v/>
      </c>
      <c r="BG26" s="68">
        <f t="array" ref="BG26">
_xlfn.LET(_xlpm.COEFF,
IF($AW26+$AX26=0,0,IF(MAX(MIN($AX26,EOMONTH(BG$15,0))-MAX($AW26,BG$15)+1,)&gt;0,1,0)),
_xlfn.IFS(
$ES26="LisChannel",
_xlpm.COEFF*
INDEX({1;1;1.2;1.2;1;1;1;1;1.2;1.2;1.2;1.2},
MATCH(MONTH(BG$15),
{1,2,3,4,5,6,7,8,9,10,11,12})),
CONCATENATE($ES26," ",$L26)="RussOutdoor метро",
_xlpm.COEFF*
INDEX({0.8;0.9;1.1;1.1;1;1;1;1;1.1;1.1;1.1;1.1},
MATCH(MONTH(BG$15),
{1,2,3,4,5,6,7,8,9,10,11,12})),
$ES26&lt;&gt;"LisChannel",
_xlpm.COEFF,
$ES26&lt;&gt;"RussOutdoor",
_xlpm.COEFF))</f>
        <v/>
      </c>
      <c r="BH26" s="68">
        <f t="array" ref="BH26">
_xlfn.LET(_xlpm.COEFF,
IF($AW26+$AX26=0,0,IF(MAX(MIN($AX26,EOMONTH(BH$15,0))-MAX($AW26,BH$15)+1,)&gt;0,1,0)),
_xlfn.IFS(
$ES26="LisChannel",
_xlpm.COEFF*
INDEX({1;1;1.2;1.2;1;1;1;1;1.2;1.2;1.2;1.2},
MATCH(MONTH(BH$15),
{1,2,3,4,5,6,7,8,9,10,11,12})),
CONCATENATE($ES26," ",$L26)="RussOutdoor метро",
_xlpm.COEFF*
INDEX({0.8;0.9;1.1;1.1;1;1;1;1;1.1;1.1;1.1;1.1},
MATCH(MONTH(BH$15),
{1,2,3,4,5,6,7,8,9,10,11,12})),
$ES26&lt;&gt;"LisChannel",
_xlpm.COEFF,
$ES26&lt;&gt;"RussOutdoor",
_xlpm.COEFF))</f>
        <v/>
      </c>
      <c r="BI26" s="68">
        <f t="array" ref="BI26">
_xlfn.LET(_xlpm.COEFF,
IF($AW26+$AX26=0,0,IF(MAX(MIN($AX26,EOMONTH(BI$15,0))-MAX($AW26,BI$15)+1,)&gt;0,1,0)),
_xlfn.IFS(
$ES26="LisChannel",
_xlpm.COEFF*
INDEX({1;1;1.2;1.2;1;1;1;1;1.2;1.2;1.2;1.2},
MATCH(MONTH(BI$15),
{1,2,3,4,5,6,7,8,9,10,11,12})),
CONCATENATE($ES26," ",$L26)="RussOutdoor метро",
_xlpm.COEFF*
INDEX({0.8;0.9;1.1;1.1;1;1;1;1;1.1;1.1;1.1;1.1},
MATCH(MONTH(BI$15),
{1,2,3,4,5,6,7,8,9,10,11,12})),
$ES26&lt;&gt;"LisChannel",
_xlpm.COEFF,
$ES26&lt;&gt;"RussOutdoor",
_xlpm.COEFF))</f>
        <v/>
      </c>
      <c r="BJ26" s="68">
        <f t="array" ref="BJ26">
_xlfn.LET(_xlpm.COEFF,
IF($AW26+$AX26=0,0,IF(MAX(MIN($AX26,EOMONTH(BJ$15,0))-MAX($AW26,BJ$15)+1,)&gt;0,1,0)),
_xlfn.IFS(
$ES26="LisChannel",
_xlpm.COEFF*
INDEX({1;1;1.2;1.2;1;1;1;1;1.2;1.2;1.2;1.2},
MATCH(MONTH(BJ$15),
{1,2,3,4,5,6,7,8,9,10,11,12})),
CONCATENATE($ES26," ",$L26)="RussOutdoor метро",
_xlpm.COEFF*
INDEX({0.8;0.9;1.1;1.1;1;1;1;1;1.1;1.1;1.1;1.1},
MATCH(MONTH(BJ$15),
{1,2,3,4,5,6,7,8,9,10,11,12})),
$ES26&lt;&gt;"LisChannel",
_xlpm.COEFF,
$ES26&lt;&gt;"RussOutdoor",
_xlpm.COEFF))</f>
        <v/>
      </c>
      <c r="BK26" s="68">
        <f t="array" ref="BK26">
_xlfn.LET(_xlpm.COEFF,
IF($AW26+$AX26=0,0,IF(MAX(MIN($AX26,EOMONTH(BK$15,0))-MAX($AW26,BK$15)+1,)&gt;0,1,0)),
_xlfn.IFS(
$ES26="LisChannel",
_xlpm.COEFF*
INDEX({1;1;1.2;1.2;1;1;1;1;1.2;1.2;1.2;1.2},
MATCH(MONTH(BK$15),
{1,2,3,4,5,6,7,8,9,10,11,12})),
CONCATENATE($ES26," ",$L26)="RussOutdoor метро",
_xlpm.COEFF*
INDEX({0.8;0.9;1.1;1.1;1;1;1;1;1.1;1.1;1.1;1.1},
MATCH(MONTH(BK$15),
{1,2,3,4,5,6,7,8,9,10,11,12})),
$ES26&lt;&gt;"LisChannel",
_xlpm.COEFF,
$ES26&lt;&gt;"RussOutdoor",
_xlpm.COEFF))</f>
        <v/>
      </c>
      <c r="BL26" s="62">
        <f>COUNTIFS($AZ26:$BK26,"&gt;0")</f>
        <v/>
      </c>
      <c r="BM26" s="65" t="n"/>
      <c r="BN26" s="121">
        <f>$DJ26</f>
        <v/>
      </c>
      <c r="BO26" s="63">
        <f>$DQ26</f>
        <v/>
      </c>
      <c r="BP26" s="121">
        <f>
IFERROR(
IF($BL26=0,0,
$BN26*(1-$BO26)),
0)</f>
        <v/>
      </c>
      <c r="BQ26" s="121">
        <f t="array" ref="BQ26">
IFERROR(
_xlfn.IFS(
$DH26="день_1",
$BP26*$BL26/($AX26-$AW26+1)*AZ26*(DAY(EOMONTH(AZ$15,0))),
$DH26="день_2",
$BP26/30*MAX(MIN($AX26,EOMONTH(AZ$15,0))-MAX($AW26,AZ$15)+1,),
$DH26="раб.день",
$BP26/30*(IFERROR(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$BP26*AZ26,
$DH26="неделя",
$BP26*AZ26/7*(ROUNDUP((DAY(EOMONTH(AZ$15,0)))/4,0))),
0)</f>
        <v/>
      </c>
      <c r="BR26" s="121">
        <f t="array" ref="BR26">
IFERROR(
_xlfn.IFS(
$DH26="день_1",
$BP26*$BL26/($AX26-$AW26+1)*BA26*(DAY(EOMONTH(BA$15,0))),
$DH26="день_2",
$BP26/30*MAX(MIN($AX26,EOMONTH(BA$15,0))-MAX($AW26,BA$15)+1,),
$DH26="раб.день",
$BP26/30*(IFERROR(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$BP26*BA26,
$DH26="неделя",
$BP26*BA26/7*(ROUNDUP((DAY(EOMONTH(BA$15,0)))/4,0))),
0)</f>
        <v/>
      </c>
      <c r="BS26" s="121">
        <f t="array" ref="BS26">
IFERROR(
_xlfn.IFS(
$DH26="день_1",
$BP26*$BL26/($AX26-$AW26+1)*BB26*(DAY(EOMONTH(BB$15,0))),
$DH26="день_2",
$BP26/30*MAX(MIN($AX26,EOMONTH(BB$15,0))-MAX($AW26,BB$15)+1,),
$DH26="раб.день",
$BP26/30*(IFERROR(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$BP26*BB26,
$DH26="неделя",
$BP26*BB26/7*(ROUNDUP((DAY(EOMONTH(BB$15,0)))/4,0))),
0)</f>
        <v/>
      </c>
      <c r="BT26" s="121">
        <f t="array" ref="BT26">
IFERROR(
_xlfn.IFS(
$DH26="день_1",
$BP26*$BL26/($AX26-$AW26+1)*BC26*(DAY(EOMONTH(BC$15,0))),
$DH26="день_2",
$BP26/30*MAX(MIN($AX26,EOMONTH(BC$15,0))-MAX($AW26,BC$15)+1,),
$DH26="раб.день",
$BP26/30*(IFERROR(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$BP26*BC26,
$DH26="неделя",
$BP26*BC26/7*(ROUNDUP((DAY(EOMONTH(BC$15,0)))/4,0))),
0)</f>
        <v/>
      </c>
      <c r="BU26" s="121">
        <f t="array" ref="BU26">
IFERROR(
_xlfn.IFS(
$DH26="день_1",
$BP26*$BL26/($AX26-$AW26+1)*BD26*(DAY(EOMONTH(BD$15,0))),
$DH26="день_2",
$BP26/30*MAX(MIN($AX26,EOMONTH(BD$15,0))-MAX($AW26,BD$15)+1,),
$DH26="раб.день",
$BP26/30*(IFERROR(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$BP26*BD26,
$DH26="неделя",
$BP26*BD26/7*(ROUNDUP((DAY(EOMONTH(BD$15,0)))/4,0))),
0)</f>
        <v/>
      </c>
      <c r="BV26" s="121">
        <f t="array" ref="BV26">
IFERROR(
_xlfn.IFS(
$DH26="день_1",
$BP26*$BL26/($AX26-$AW26+1)*BE26*(DAY(EOMONTH(BE$15,0))),
$DH26="день_2",
$BP26/30*MAX(MIN($AX26,EOMONTH(BE$15,0))-MAX($AW26,BE$15)+1,),
$DH26="раб.день",
$BP26/30*(IFERROR(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$BP26*BE26,
$DH26="неделя",
$BP26*BE26/7*(ROUNDUP((DAY(EOMONTH(BE$15,0)))/4,0))),
0)</f>
        <v/>
      </c>
      <c r="BW26" s="121">
        <f t="array" ref="BW26">
IFERROR(
_xlfn.IFS(
$DH26="день_1",
$BP26*$BL26/($AX26-$AW26+1)*BF26*(DAY(EOMONTH(BF$15,0))),
$DH26="день_2",
$BP26/30*MAX(MIN($AX26,EOMONTH(BF$15,0))-MAX($AW26,BF$15)+1,),
$DH26="раб.день",
$BP26/30*(IFERROR(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$BP26*BF26,
$DH26="неделя",
$BP26*BF26/7*(ROUNDUP((DAY(EOMONTH(BF$15,0)))/4,0))),
0)</f>
        <v/>
      </c>
      <c r="BX26" s="121">
        <f t="array" ref="BX26">
IFERROR(
_xlfn.IFS(
$DH26="день_1",
$BP26*$BL26/($AX26-$AW26+1)*BG26*(DAY(EOMONTH(BG$15,0))),
$DH26="день_2",
$BP26/30*MAX(MIN($AX26,EOMONTH(BG$15,0))-MAX($AW26,BG$15)+1,),
$DH26="раб.день",
$BP26/30*(IFERROR(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$BP26*BG26,
$DH26="неделя",
$BP26*BG26/7*(ROUNDUP((DAY(EOMONTH(BG$15,0)))/4,0))),
0)</f>
        <v/>
      </c>
      <c r="BY26" s="121">
        <f t="array" ref="BY26">
IFERROR(
_xlfn.IFS(
$DH26="день_1",
$BP26*$BL26/($AX26-$AW26+1)*BH26*(DAY(EOMONTH(BH$15,0))),
$DH26="день_2",
$BP26/30*MAX(MIN($AX26,EOMONTH(BH$15,0))-MAX($AW26,BH$15)+1,),
$DH26="раб.день",
$BP26/30*(IFERROR(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$BP26*BH26,
$DH26="неделя",
$BP26*BH26/7*(ROUNDUP((DAY(EOMONTH(BH$15,0)))/4,0))),
0)</f>
        <v/>
      </c>
      <c r="BZ26" s="121">
        <f t="array" ref="BZ26">
IFERROR(
_xlfn.IFS(
$DH26="день_1",
$BP26*$BL26/($AX26-$AW26+1)*BI26*(DAY(EOMONTH(BI$15,0))),
$DH26="день_2",
$BP26/30*MAX(MIN($AX26,EOMONTH(BI$15,0))-MAX($AW26,BI$15)+1,),
$DH26="раб.день",
$BP26/30*(IFERROR(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$BP26*BI26,
$DH26="неделя",
$BP26*BI26/7*(ROUNDUP((DAY(EOMONTH(BI$15,0)))/4,0))),
0)</f>
        <v/>
      </c>
      <c r="CA26" s="121">
        <f t="array" ref="CA26">
IFERROR(
_xlfn.IFS(
$DH26="день_1",
$BP26*$BL26/($AX26-$AW26+1)*BJ26*(DAY(EOMONTH(BJ$15,0))),
$DH26="день_2",
$BP26/30*MAX(MIN($AX26,EOMONTH(BJ$15,0))-MAX($AW26,BJ$15)+1,),
$DH26="раб.день",
$BP26/30*(IFERROR(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$BP26*BJ26,
$DH26="неделя",
$BP26*BJ26/7*(ROUNDUP((DAY(EOMONTH(BJ$15,0)))/4,0))),
0)</f>
        <v/>
      </c>
      <c r="CB26" s="121">
        <f t="array" ref="CB26">
IFERROR(
_xlfn.IFS(
$DH26="день_1",
$BP26*$BL26/($AX26-$AW26+1)*BK26*(DAY(EOMONTH(BK$15,0))),
$DH26="день_2",
$BP26/30*MAX(MIN($AX26,EOMONTH(BK$15,0))-MAX($AW26,BK$15)+1,),
$DH26="раб.день",
$BP26/30*(IFERROR(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$BP26*BK26,
$DH26="неделя",
$BP26*BK26/7*(ROUNDUP((DAY(EOMONTH(BK$15,0)))/4,0))),
0)</f>
        <v/>
      </c>
      <c r="CC26" s="121">
        <f>SUM($BQ26:$CB26)</f>
        <v/>
      </c>
      <c r="CD26" s="122">
        <f>SUM($EH26:$EH26)</f>
        <v/>
      </c>
      <c r="CE26" s="122">
        <f>$CD26*$AB26</f>
        <v/>
      </c>
      <c r="CF26" s="122">
        <f>SUM($EK26:$EK26)</f>
        <v/>
      </c>
      <c r="CG26" s="122">
        <f>$CF26*$AB26</f>
        <v/>
      </c>
      <c r="CH26" s="122">
        <f>SUM($CC26,$CE26,$CG26)</f>
        <v/>
      </c>
      <c r="CI26" s="122">
        <f>$CH26*(1+$CM26)</f>
        <v/>
      </c>
      <c r="CJ26" s="123" t="n">
        <v>0</v>
      </c>
      <c r="CK26" s="122">
        <f>SUM($CH26:$CH26)*(1+$CJ26)</f>
        <v/>
      </c>
      <c r="CL26" s="122">
        <f>SUM($CH26:$CH26)*(1+$CM26)</f>
        <v/>
      </c>
      <c r="CM26" s="59" t="n"/>
      <c r="CN26" s="59" t="n"/>
      <c r="CO26" s="72" t="n"/>
      <c r="CP26" s="59" t="n"/>
      <c r="CQ26" s="73" t="n"/>
      <c r="CR26" s="73" t="n"/>
      <c r="CS26" s="73" t="n"/>
      <c r="CT26" s="72" t="n"/>
      <c r="CU26" s="79" t="inlineStr">
        <is>
          <t> </t>
        </is>
      </c>
      <c r="CV26" s="60" t="n"/>
      <c r="CW26" s="60" t="n"/>
      <c r="CX26" s="60" t="n"/>
      <c r="CY26" s="123">
        <f>IFERROR(($CC26-$EE26)/($EE26/(1-$DQ26)),0)</f>
        <v/>
      </c>
      <c r="CZ26" s="123">
        <f>IFERROR(1-$EI26/($CE26),0)</f>
        <v/>
      </c>
      <c r="DA26" s="123">
        <f>IFERROR(1-$EL26/($CG26),0)</f>
        <v/>
      </c>
      <c r="DB26" s="122">
        <f>ROUND(IFERROR(($CI26/(1+$CM26)-$EN26),0),2)</f>
        <v/>
      </c>
      <c r="DC26" s="124" t="n"/>
      <c r="DD26" s="121" t="n"/>
      <c r="DE26" s="75" t="n">
        <v>0</v>
      </c>
      <c r="DF26" s="124" t="n"/>
      <c r="DG26" s="121">
        <f>IF($DC26=0,0,$DD26*($DC26*100%-$DE26*$DF26))*SUM($AB26:$AB26)</f>
        <v/>
      </c>
      <c r="DH26" s="125" t="inlineStr">
        <is>
          <t>месяц</t>
        </is>
      </c>
      <c r="DI26" s="126">
        <f t="array" ref="DI26">IFERROR(
IF($ES26="LisChannel",
(ROUND(((INDEX({174.625;153.888888888889;130.972222222222},MATCH($AI26,{2;3;4}),0))*$AG26*$AI26),2)),0),0)</f>
        <v/>
      </c>
      <c r="DJ26" s="126">
        <f>
_xlfn.LET(_xlpm.X,
IFERROR(
IF($ES26="НовиковТВ",
(_xlfn.LET(_xlpm.NTV,
_xlfn.LET(_xlpm.MIN,350000,
IF(SUMIFS($DI:$DI,$ES:$ES,"НовиковТВ")&lt;=_xlpm.MIN,
(SUMIFS($DI:$DI,$ES:$ES,"НовиковТВ")/(COUNTIFS($ES:$ES,"НовиковТВ")))*_xlpm.MIN/SUMIFS($DI:$DI,$ES:$ES,"НовиковТВ"),
DI26)),
_xlpm.NTV+$DG26/(1-(1-(_xlpm.NTV)*(1-$DL26)*(1-$DM26)*(1-$DN26)*(1-$DO26)*(1-$DP26)/_xlpm.NTV))))/(1+$EP26),
$DI26+$DG26/(1-(1-($DI26)*(1-$DL26)*(1-$DM26)*(1-$DN26)*(1-$DO26)*(1-$DP26)/$DI26))),
0),
_xlpm.X*(1+$CM26)*(1+$CW26)-_xlpm.X*(1+$CM26)+_xlpm.X)</f>
        <v/>
      </c>
      <c r="DK26" s="121" t="inlineStr">
        <is>
          <t>послед.</t>
        </is>
      </c>
      <c r="DL26" s="63" t="n">
        <v>0</v>
      </c>
      <c r="DM26" s="63" t="n">
        <v>0</v>
      </c>
      <c r="DN26" s="63" t="n">
        <v>0</v>
      </c>
      <c r="DO26" s="63" t="n">
        <v>0</v>
      </c>
      <c r="DP26" s="63" t="n">
        <v>0</v>
      </c>
      <c r="DQ26" s="63">
        <f t="array" ref="DQ26">IFERROR(_xlfn.IFS(
$DK26="послед.",1-(1-$DL26)*(1-$DM26)*(1-$DN26)*(1-$DO26)*(1-$DP26),
$DK26="сумм.",$DL26+$DM26+$DN26+$DO26+$DP26),
0)</f>
        <v/>
      </c>
      <c r="DR26" s="121">
        <f t="array" ref="DR26">
IFERROR(
_xlfn.IFS(
$BL26=0,
0,
$BL26&gt;0,
_xlfn.IFS($DK26="послед.",
$DJ26*(1-$DL26)*(1-$DM26)*(1-$DN26)*(1-$DO26)*(1-$DP26),
$DK26="сумм.",
$DJ26*(1-($DL26+$DM26+$DN26+$DO26+$DP26)))),0)</f>
        <v/>
      </c>
      <c r="DS26" s="121">
        <f t="array" ref="DS26">
IFERROR(_xlfn.IFS(
$DH26="день_1",
$DR26*$BL26/($AX26-$AW26+1)*AZ26*(DAY(EOMONTH(AZ$15,0))),
$DH26="день_2",
$DR26/30*MAX(MIN($AX26,EOMONTH(AZ$15,0))-MAX($AW26,AZ$15)+1,),
$DH26="раб.день",
$DR26/30*(IFERROR(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$DR26*AZ26,
$DH26="неделя",
$DR26*AZ26/7*(ROUNDUP((DAY(EOMONTH(AZ$15,0)))/4,0))),
0)</f>
        <v/>
      </c>
      <c r="DT26" s="121">
        <f t="array" ref="DT26">
IFERROR(_xlfn.IFS(
$DH26="день_1",
$DR26*$BL26/($AX26-$AW26+1)*BA26*(DAY(EOMONTH(BA$15,0))),
$DH26="день_2",
$DR26/30*MAX(MIN($AX26,EOMONTH(BA$15,0))-MAX($AW26,BA$15)+1,),
$DH26="раб.день",
$DR26/30*(IFERROR(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$DR26*BA26,
$DH26="неделя",
$DR26*BA26/7*(ROUNDUP((DAY(EOMONTH(BA$15,0)))/4,0))),
0)</f>
        <v/>
      </c>
      <c r="DU26" s="121">
        <f t="array" ref="DU26">
IFERROR(_xlfn.IFS(
$DH26="день_1",
$DR26*$BL26/($AX26-$AW26+1)*BB26*(DAY(EOMONTH(BB$15,0))),
$DH26="день_2",
$DR26/30*MAX(MIN($AX26,EOMONTH(BB$15,0))-MAX($AW26,BB$15)+1,),
$DH26="раб.день",
$DR26/30*(IFERROR(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$DR26*BB26,
$DH26="неделя",
$DR26*BB26/7*(ROUNDUP((DAY(EOMONTH(BB$15,0)))/4,0))),
0)</f>
        <v/>
      </c>
      <c r="DV26" s="121">
        <f t="array" ref="DV26">
IFERROR(_xlfn.IFS(
$DH26="день_1",
$DR26*$BL26/($AX26-$AW26+1)*BC26*(DAY(EOMONTH(BC$15,0))),
$DH26="день_2",
$DR26/30*MAX(MIN($AX26,EOMONTH(BC$15,0))-MAX($AW26,BC$15)+1,),
$DH26="раб.день",
$DR26/30*(IFERROR(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$DR26*BC26,
$DH26="неделя",
$DR26*BC26/7*(ROUNDUP((DAY(EOMONTH(BC$15,0)))/4,0))),
0)</f>
        <v/>
      </c>
      <c r="DW26" s="121">
        <f t="array" ref="DW26">
IFERROR(_xlfn.IFS(
$DH26="день_1",
$DR26*$BL26/($AX26-$AW26+1)*BD26*(DAY(EOMONTH(BD$15,0))),
$DH26="день_2",
$DR26/30*MAX(MIN($AX26,EOMONTH(BD$15,0))-MAX($AW26,BD$15)+1,),
$DH26="раб.день",
$DR26/30*(IFERROR(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$DR26*BD26,
$DH26="неделя",
$DR26*BD26/7*(ROUNDUP((DAY(EOMONTH(BD$15,0)))/4,0))),
0)</f>
        <v/>
      </c>
      <c r="DX26" s="121">
        <f t="array" ref="DX26">
IFERROR(_xlfn.IFS(
$DH26="день_1",
$DR26*$BL26/($AX26-$AW26+1)*BE26*(DAY(EOMONTH(BE$15,0))),
$DH26="день_2",
$DR26/30*MAX(MIN($AX26,EOMONTH(BE$15,0))-MAX($AW26,BE$15)+1,),
$DH26="раб.день",
$DR26/30*(IFERROR(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$DR26*BE26,
$DH26="неделя",
$DR26*BE26/7*(ROUNDUP((DAY(EOMONTH(BE$15,0)))/4,0))),
0)</f>
        <v/>
      </c>
      <c r="DY26" s="121">
        <f t="array" ref="DY26">
IFERROR(_xlfn.IFS(
$DH26="день_1",
$DR26*$BL26/($AX26-$AW26+1)*BF26*(DAY(EOMONTH(BF$15,0))),
$DH26="день_2",
$DR26/30*MAX(MIN($AX26,EOMONTH(BF$15,0))-MAX($AW26,BF$15)+1,),
$DH26="раб.день",
$DR26/30*(IFERROR(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$DR26*BF26,
$DH26="неделя",
$DR26*BF26/7*(ROUNDUP((DAY(EOMONTH(BF$15,0)))/4,0))),
0)</f>
        <v/>
      </c>
      <c r="DZ26" s="121">
        <f t="array" ref="DZ26">
IFERROR(_xlfn.IFS(
$DH26="день_1",
$DR26*$BL26/($AX26-$AW26+1)*BG26*(DAY(EOMONTH(BG$15,0))),
$DH26="день_2",
$DR26/30*MAX(MIN($AX26,EOMONTH(BG$15,0))-MAX($AW26,BG$15)+1,),
$DH26="раб.день",
$DR26/30*(IFERROR(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$DR26*BG26,
$DH26="неделя",
$DR26*BG26/7*(ROUNDUP((DAY(EOMONTH(BG$15,0)))/4,0))),
0)</f>
        <v/>
      </c>
      <c r="EA26" s="121">
        <f t="array" ref="EA26">
IFERROR(_xlfn.IFS(
$DH26="день_1",
$DR26*$BL26/($AX26-$AW26+1)*BH26*(DAY(EOMONTH(BH$15,0))),
$DH26="день_2",
$DR26/30*MAX(MIN($AX26,EOMONTH(BH$15,0))-MAX($AW26,BH$15)+1,),
$DH26="раб.день",
$DR26/30*(IFERROR(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$DR26*BH26,
$DH26="неделя",
$DR26*BH26/7*(ROUNDUP((DAY(EOMONTH(BH$15,0)))/4,0))),
0)</f>
        <v/>
      </c>
      <c r="EB26" s="121">
        <f t="array" ref="EB26">
IFERROR(_xlfn.IFS(
$DH26="день_1",
$DR26*$BL26/($AX26-$AW26+1)*BI26*(DAY(EOMONTH(BI$15,0))),
$DH26="день_2",
$DR26/30*MAX(MIN($AX26,EOMONTH(BI$15,0))-MAX($AW26,BI$15)+1,),
$DH26="раб.день",
$DR26/30*(IFERROR(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$DR26*BI26,
$DH26="неделя",
$DR26*BI26/7*(ROUNDUP((DAY(EOMONTH(BI$15,0)))/4,0))),
0)</f>
        <v/>
      </c>
      <c r="EC26" s="121">
        <f t="array" ref="EC26">
IFERROR(_xlfn.IFS(
$DH26="день_1",
$DR26*$BL26/($AX26-$AW26+1)*BJ26*(DAY(EOMONTH(BJ$15,0))),
$DH26="день_2",
$DR26/30*MAX(MIN($AX26,EOMONTH(BJ$15,0))-MAX($AW26,BJ$15)+1,),
$DH26="раб.день",
$DR26/30*(IFERROR(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$DR26*BJ26,
$DH26="неделя",
$DR26*BJ26/7*(ROUNDUP((DAY(EOMONTH(BJ$15,0)))/4,0))),
0)</f>
        <v/>
      </c>
      <c r="ED26" s="121">
        <f t="array" ref="ED26">
IFERROR(_xlfn.IFS(
$DH26="день_1",
$DR26*$BL26/($AX26-$AW26+1)*BK26*(DAY(EOMONTH(BK$15,0))),
$DH26="день_2",
$DR26/30*MAX(MIN($AX26,EOMONTH(BK$15,0))-MAX($AW26,BK$15)+1,),
$DH26="раб.день",
$DR26/30*(IFERROR(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$DR26*BK26,
$DH26="неделя",
$DR26*BK26/7*(ROUNDUP((DAY(EOMONTH(BK$15,0)))/4,0))),
0)</f>
        <v/>
      </c>
      <c r="EE26" s="121">
        <f>SUM($DS26,$DT26,$DU26,$DV26,$DW26,$DX26,$DY26,$DZ26,$EA26,$EB26,$EC26,$ED26)</f>
        <v/>
      </c>
      <c r="EF26" s="121">
        <f>IFERROR(ROUND($EE26*(1+$EP26),2),0)</f>
        <v/>
      </c>
      <c r="EG26" s="124" t="n">
        <v>1</v>
      </c>
      <c r="EH26" s="122" t="n">
        <v>0</v>
      </c>
      <c r="EI26" s="122">
        <f>ROUND(SUM($EH26:$EH26)*SUM($AB26:$AB26)*$EG26,2)</f>
        <v/>
      </c>
      <c r="EJ26" s="122">
        <f>ROUND($EI26*(1+$EP26),2)</f>
        <v/>
      </c>
      <c r="EK26" s="122" t="n">
        <v>0</v>
      </c>
      <c r="EL26" s="122">
        <f>ROUND(SUM($EK26:$EK26)*SUM($AB26:$AB26)*$EG26,2)</f>
        <v/>
      </c>
      <c r="EM26" s="122">
        <f>ROUND($EL26*(1+$EP26),2)</f>
        <v/>
      </c>
      <c r="EN26" s="122">
        <f>SUM($EE26,$EI26,$EL26)</f>
        <v/>
      </c>
      <c r="EO26" s="122">
        <f>SUM($EF26,$EJ26,$EM26)</f>
        <v/>
      </c>
      <c r="EP26" s="59" t="n"/>
      <c r="EQ26" s="59" t="n"/>
      <c r="ER26" s="60">
        <f t="array" ref="ER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MATCH(ES26,
{"AMS";"RussOutdoor";"HD Outdoor";"Ingroup";"IQ";"Ledproduction";"LisChannel";"Logic";"Media-PPL";"NovikovTV | НовиковТВ";"SMA";"SOK";"КрокусТВ | CrocusTV | IndoorTV";"Сити";"ТЯК Москва"},
0)),"")</f>
        <v/>
      </c>
      <c r="ES26" s="60" t="n"/>
      <c r="ET26" s="60">
        <f t="array" ref="ET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MATCH(ES26,
{"AMS";"RussOutdoor";"HD Outdoor";"Ingroup";"IQ";"Ledproduction";"LisChannel";"Logic";"Media-PPL";"NovikovTV | НовиковТВ";"SMA";"SOK";"КрокусТВ | CrocusTV | IndoorTV";"Сити";"ТЯК Москва"},
0)),"")</f>
        <v/>
      </c>
      <c r="EU26" s="60" t="n"/>
      <c r="EV26" s="60" t="n"/>
      <c r="EW26" t="inlineStr">
        <is>
          <t> </t>
        </is>
      </c>
    </row>
    <row r="27">
      <c r="A27" s="59" t="n"/>
      <c r="B27" s="60" t="n"/>
      <c r="C27" s="60" t="n"/>
      <c r="D27" s="60">
        <f t="array" ref="D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7" s="60">
        <f t="array" ref="E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7" s="60" t="inlineStr"/>
      <c r="G27" s="60" t="n"/>
      <c r="H27" s="60">
        <f t="array" ref="H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7" s="60" t="n"/>
      <c r="J27" s="60" t="n"/>
      <c r="K27" s="60" t="n"/>
      <c r="L27" s="60" t="n"/>
      <c r="M27" s="60" t="n"/>
      <c r="N27" s="60" t="n"/>
      <c r="O27" s="60" t="n"/>
      <c r="P27" s="60">
        <f t="array" ref="P27">
_xlfn.IFS(
ISNUMBER(MATCH($Q27,{"шелфбаннер","разделитель","монетница","чековая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ISNUMBER(MATCH($Q27,{"каталог","журнал"},)),
"Пресса",
$Q27="","")</f>
        <v/>
      </c>
      <c r="Q27" s="60" t="n"/>
      <c r="R27" s="60">
        <f t="array" ref="R27">
IFERROR(
_xlfn.IFS(
OR(ISNUMBER(MATCH($Q27,{"экспозиция","макет","стенд","автостенд","авто стенд","выставочное пространство","выставочные стенды","модульные выставочные стенды","3Д конструкция","3D конструкция"},)),P27="Экспонирование"),
"нестандартный",
ISNUMBER(MATCH($Q27,{"скроллер","призматрон"},)),
"динамический",
$P27="Видео",
"цифровой",
OR($P27="Пресса",$P27="Щит",$P27="POSm",$P27="Подвес",$P27="Брендирование/оклейка"),
"статический"),"")</f>
        <v/>
      </c>
      <c r="S27" s="59" t="n"/>
      <c r="T27" s="60" t="n"/>
      <c r="U27" s="60" t="n"/>
      <c r="V27" s="60">
        <f>
IF(P27="Видео",
"цифровой постер/ролик",
IF(ISNUMBER(MATCH(Q27,{"короб световой","короб световой | лайтбокс","короб световой | кристалайт","лайтбокс","лайт бокс","кристалайт","LB","lightbox"},)),
"бэклит",
IF(P27="Брендирование/оклейка",
"перфарированная пленка/самоклейка",
IF(P27="Экспонирование",
"под запрос",
IF(P27="Подвес",
"баннер/ткань",
"")))))</f>
        <v/>
      </c>
      <c r="W27" s="59" t="n"/>
      <c r="X27" s="59" t="n"/>
      <c r="Y27" s="59" t="n"/>
      <c r="Z27" s="61" t="n"/>
      <c r="AA27" s="61" t="n"/>
      <c r="AB27" s="61">
        <f>IF(BL27&gt;0,Z27,0)</f>
        <v/>
      </c>
      <c r="AC27" s="59" t="n"/>
      <c r="AD27" s="59" t="n"/>
      <c r="AE27" s="59" t="n"/>
      <c r="AF27" s="59" t="n"/>
      <c r="AG27" s="59" t="n"/>
      <c r="AH27" s="59" t="e">
        <v>#VALUE!</v>
      </c>
      <c r="AI27" s="59" t="n"/>
      <c r="AJ27" s="59" t="n"/>
      <c r="AK27" s="59" t="n"/>
      <c r="AL27" s="62">
        <f>IFERROR(IF(OR(R27="статический",R27="динамический",R27="нестандартный",R27="",R27=""),"-",IF(AND(AH27="-",AI27="-"),"-",AK27*3600/AH27*AI27)),"-")</f>
        <v/>
      </c>
      <c r="AM27" s="62">
        <f>IFERROR(IF(OR(R27="статический",R27="динамический",R27="",R27="", R27="BTL",R27="нестандартный"),"-",AG27*AI27*AL27/60),"-")</f>
        <v/>
      </c>
      <c r="AN27" s="63">
        <f>IFERROR(IF(AH27="","-",AG27*AI27/AH27),"-")</f>
        <v/>
      </c>
      <c r="AO27" s="59">
        <f>IFERROR(IF(OR($R27="статический",$R27="динамический",$R27="",$R27="",$R27="BTL",$R27="нестандартный"),"-",$AL27*$AY27),"-")</f>
        <v/>
      </c>
      <c r="AP27" s="62">
        <f>IFERROR(IF(OR($R27="статический",$R27="динамический",$R27="",$R27="",$R27="BTL",$R27="нестандартный"),"-",$AM27*AY27),"-")</f>
        <v/>
      </c>
      <c r="AQ27" s="64" t="n"/>
      <c r="AR27" s="61" t="n"/>
      <c r="AS27" s="61" t="n"/>
      <c r="AT27" s="61" t="n"/>
      <c r="AU27" s="65" t="n"/>
      <c r="AV27" s="120">
        <f>IFERROR(DR27/AT27*1000,"n/a")</f>
        <v/>
      </c>
      <c r="AW27" s="67" t="n"/>
      <c r="AX27" s="67" t="n"/>
      <c r="AY27" s="43">
        <f>IFERROR(IF(OR($AW27="",$AX27=""),"",_xlfn.DAYS($AX27+1,$AW27)),"")</f>
        <v/>
      </c>
      <c r="AZ27" s="68">
        <f t="array" ref="AZ27">
_xlfn.LET(_xlpm.COEFF,
IF($AW27+$AX27=0,0,IF(MAX(MIN($AX27,EOMONTH(AZ$15,0))-MAX($AW27,AZ$15)+1,)&gt;0,1,0)),
_xlfn.IFS(
$ES27="LisChannel",
_xlpm.COEFF*
INDEX({1;1;1.2;1.2;1;1;1;1;1.2;1.2;1.2;1.2},
MATCH(MONTH(AZ$15),
{1,2,3,4,5,6,7,8,9,10,11,12})),
CONCATENATE($ES27," ",$L27)="RussOutdoor метро",
_xlpm.COEFF*
INDEX({0.8;0.9;1.1;1.1;1;1;1;1;1.1;1.1;1.1;1.1},
MATCH(MONTH(AZ$15),
{1,2,3,4,5,6,7,8,9,10,11,12})),
$ES27&lt;&gt;"LisChannel",
_xlpm.COEFF,
$ES27&lt;&gt;"RussOutdoor",
_xlpm.COEFF))</f>
        <v/>
      </c>
      <c r="BA27" s="68">
        <f t="array" ref="BA27">
_xlfn.LET(_xlpm.COEFF,
IF($AW27+$AX27=0,0,IF(MAX(MIN($AX27,EOMONTH(BA$15,0))-MAX($AW27,BA$15)+1,)&gt;0,1,0)),
_xlfn.IFS(
$ES27="LisChannel",
_xlpm.COEFF*
INDEX({1;1;1.2;1.2;1;1;1;1;1.2;1.2;1.2;1.2},
MATCH(MONTH(BA$15),
{1,2,3,4,5,6,7,8,9,10,11,12})),
CONCATENATE($ES27," ",$L27)="RussOutdoor метро",
_xlpm.COEFF*
INDEX({0.8;0.9;1.1;1.1;1;1;1;1;1.1;1.1;1.1;1.1},
MATCH(MONTH(BA$15),
{1,2,3,4,5,6,7,8,9,10,11,12})),
$ES27&lt;&gt;"LisChannel",
_xlpm.COEFF,
$ES27&lt;&gt;"RussOutdoor",
_xlpm.COEFF))</f>
        <v/>
      </c>
      <c r="BB27" s="68">
        <f t="array" ref="BB27">
_xlfn.LET(_xlpm.COEFF,
IF($AW27+$AX27=0,0,IF(MAX(MIN($AX27,EOMONTH(BB$15,0))-MAX($AW27,BB$15)+1,)&gt;0,1,0)),
_xlfn.IFS(
$ES27="LisChannel",
_xlpm.COEFF*
INDEX({1;1;1.2;1.2;1;1;1;1;1.2;1.2;1.2;1.2},
MATCH(MONTH(BB$15),
{1,2,3,4,5,6,7,8,9,10,11,12})),
CONCATENATE($ES27," ",$L27)="RussOutdoor метро",
_xlpm.COEFF*
INDEX({0.8;0.9;1.1;1.1;1;1;1;1;1.1;1.1;1.1;1.1},
MATCH(MONTH(BB$15),
{1,2,3,4,5,6,7,8,9,10,11,12})),
$ES27&lt;&gt;"LisChannel",
_xlpm.COEFF,
$ES27&lt;&gt;"RussOutdoor",
_xlpm.COEFF))</f>
        <v/>
      </c>
      <c r="BC27" s="68">
        <f t="array" ref="BC27">
_xlfn.LET(_xlpm.COEFF,
IF($AW27+$AX27=0,0,IF(MAX(MIN($AX27,EOMONTH(BC$15,0))-MAX($AW27,BC$15)+1,)&gt;0,1,0)),
_xlfn.IFS(
$ES27="LisChannel",
_xlpm.COEFF*
INDEX({1;1;1.2;1.2;1;1;1;1;1.2;1.2;1.2;1.2},
MATCH(MONTH(BC$15),
{1,2,3,4,5,6,7,8,9,10,11,12})),
CONCATENATE($ES27," ",$L27)="RussOutdoor метро",
_xlpm.COEFF*
INDEX({0.8;0.9;1.1;1.1;1;1;1;1;1.1;1.1;1.1;1.1},
MATCH(MONTH(BC$15),
{1,2,3,4,5,6,7,8,9,10,11,12})),
$ES27&lt;&gt;"LisChannel",
_xlpm.COEFF,
$ES27&lt;&gt;"RussOutdoor",
_xlpm.COEFF))</f>
        <v/>
      </c>
      <c r="BD27" s="68">
        <f t="array" ref="BD27">
_xlfn.LET(_xlpm.COEFF,
IF($AW27+$AX27=0,0,IF(MAX(MIN($AX27,EOMONTH(BD$15,0))-MAX($AW27,BD$15)+1,)&gt;0,1,0)),
_xlfn.IFS(
$ES27="LisChannel",
_xlpm.COEFF*
INDEX({1;1;1.2;1.2;1;1;1;1;1.2;1.2;1.2;1.2},
MATCH(MONTH(BD$15),
{1,2,3,4,5,6,7,8,9,10,11,12})),
CONCATENATE($ES27," ",$L27)="RussOutdoor метро",
_xlpm.COEFF*
INDEX({0.8;0.9;1.1;1.1;1;1;1;1;1.1;1.1;1.1;1.1},
MATCH(MONTH(BD$15),
{1,2,3,4,5,6,7,8,9,10,11,12})),
$ES27&lt;&gt;"LisChannel",
_xlpm.COEFF,
$ES27&lt;&gt;"RussOutdoor",
_xlpm.COEFF))</f>
        <v/>
      </c>
      <c r="BE27" s="68">
        <f t="array" ref="BE27">
_xlfn.LET(_xlpm.COEFF,
IF($AW27+$AX27=0,0,IF(MAX(MIN($AX27,EOMONTH(BE$15,0))-MAX($AW27,BE$15)+1,)&gt;0,1,0)),
_xlfn.IFS(
$ES27="LisChannel",
_xlpm.COEFF*
INDEX({1;1;1.2;1.2;1;1;1;1;1.2;1.2;1.2;1.2},
MATCH(MONTH(BE$15),
{1,2,3,4,5,6,7,8,9,10,11,12})),
CONCATENATE($ES27," ",$L27)="RussOutdoor метро",
_xlpm.COEFF*
INDEX({0.8;0.9;1.1;1.1;1;1;1;1;1.1;1.1;1.1;1.1},
MATCH(MONTH(BE$15),
{1,2,3,4,5,6,7,8,9,10,11,12})),
$ES27&lt;&gt;"LisChannel",
_xlpm.COEFF,
$ES27&lt;&gt;"RussOutdoor",
_xlpm.COEFF))</f>
        <v/>
      </c>
      <c r="BF27" s="68">
        <f t="array" ref="BF27">
_xlfn.LET(_xlpm.COEFF,
IF($AW27+$AX27=0,0,IF(MAX(MIN($AX27,EOMONTH(BF$15,0))-MAX($AW27,BF$15)+1,)&gt;0,1,0)),
_xlfn.IFS(
$ES27="LisChannel",
_xlpm.COEFF*
INDEX({1;1;1.2;1.2;1;1;1;1;1.2;1.2;1.2;1.2},
MATCH(MONTH(BF$15),
{1,2,3,4,5,6,7,8,9,10,11,12})),
CONCATENATE($ES27," ",$L27)="RussOutdoor метро",
_xlpm.COEFF*
INDEX({0.8;0.9;1.1;1.1;1;1;1;1;1.1;1.1;1.1;1.1},
MATCH(MONTH(BF$15),
{1,2,3,4,5,6,7,8,9,10,11,12})),
$ES27&lt;&gt;"LisChannel",
_xlpm.COEFF,
$ES27&lt;&gt;"RussOutdoor",
_xlpm.COEFF))</f>
        <v/>
      </c>
      <c r="BG27" s="68">
        <f t="array" ref="BG27">
_xlfn.LET(_xlpm.COEFF,
IF($AW27+$AX27=0,0,IF(MAX(MIN($AX27,EOMONTH(BG$15,0))-MAX($AW27,BG$15)+1,)&gt;0,1,0)),
_xlfn.IFS(
$ES27="LisChannel",
_xlpm.COEFF*
INDEX({1;1;1.2;1.2;1;1;1;1;1.2;1.2;1.2;1.2},
MATCH(MONTH(BG$15),
{1,2,3,4,5,6,7,8,9,10,11,12})),
CONCATENATE($ES27," ",$L27)="RussOutdoor метро",
_xlpm.COEFF*
INDEX({0.8;0.9;1.1;1.1;1;1;1;1;1.1;1.1;1.1;1.1},
MATCH(MONTH(BG$15),
{1,2,3,4,5,6,7,8,9,10,11,12})),
$ES27&lt;&gt;"LisChannel",
_xlpm.COEFF,
$ES27&lt;&gt;"RussOutdoor",
_xlpm.COEFF))</f>
        <v/>
      </c>
      <c r="BH27" s="68">
        <f t="array" ref="BH27">
_xlfn.LET(_xlpm.COEFF,
IF($AW27+$AX27=0,0,IF(MAX(MIN($AX27,EOMONTH(BH$15,0))-MAX($AW27,BH$15)+1,)&gt;0,1,0)),
_xlfn.IFS(
$ES27="LisChannel",
_xlpm.COEFF*
INDEX({1;1;1.2;1.2;1;1;1;1;1.2;1.2;1.2;1.2},
MATCH(MONTH(BH$15),
{1,2,3,4,5,6,7,8,9,10,11,12})),
CONCATENATE($ES27," ",$L27)="RussOutdoor метро",
_xlpm.COEFF*
INDEX({0.8;0.9;1.1;1.1;1;1;1;1;1.1;1.1;1.1;1.1},
MATCH(MONTH(BH$15),
{1,2,3,4,5,6,7,8,9,10,11,12})),
$ES27&lt;&gt;"LisChannel",
_xlpm.COEFF,
$ES27&lt;&gt;"RussOutdoor",
_xlpm.COEFF))</f>
        <v/>
      </c>
      <c r="BI27" s="68">
        <f t="array" ref="BI27">
_xlfn.LET(_xlpm.COEFF,
IF($AW27+$AX27=0,0,IF(MAX(MIN($AX27,EOMONTH(BI$15,0))-MAX($AW27,BI$15)+1,)&gt;0,1,0)),
_xlfn.IFS(
$ES27="LisChannel",
_xlpm.COEFF*
INDEX({1;1;1.2;1.2;1;1;1;1;1.2;1.2;1.2;1.2},
MATCH(MONTH(BI$15),
{1,2,3,4,5,6,7,8,9,10,11,12})),
CONCATENATE($ES27," ",$L27)="RussOutdoor метро",
_xlpm.COEFF*
INDEX({0.8;0.9;1.1;1.1;1;1;1;1;1.1;1.1;1.1;1.1},
MATCH(MONTH(BI$15),
{1,2,3,4,5,6,7,8,9,10,11,12})),
$ES27&lt;&gt;"LisChannel",
_xlpm.COEFF,
$ES27&lt;&gt;"RussOutdoor",
_xlpm.COEFF))</f>
        <v/>
      </c>
      <c r="BJ27" s="68">
        <f t="array" ref="BJ27">
_xlfn.LET(_xlpm.COEFF,
IF($AW27+$AX27=0,0,IF(MAX(MIN($AX27,EOMONTH(BJ$15,0))-MAX($AW27,BJ$15)+1,)&gt;0,1,0)),
_xlfn.IFS(
$ES27="LisChannel",
_xlpm.COEFF*
INDEX({1;1;1.2;1.2;1;1;1;1;1.2;1.2;1.2;1.2},
MATCH(MONTH(BJ$15),
{1,2,3,4,5,6,7,8,9,10,11,12})),
CONCATENATE($ES27," ",$L27)="RussOutdoor метро",
_xlpm.COEFF*
INDEX({0.8;0.9;1.1;1.1;1;1;1;1;1.1;1.1;1.1;1.1},
MATCH(MONTH(BJ$15),
{1,2,3,4,5,6,7,8,9,10,11,12})),
$ES27&lt;&gt;"LisChannel",
_xlpm.COEFF,
$ES27&lt;&gt;"RussOutdoor",
_xlpm.COEFF))</f>
        <v/>
      </c>
      <c r="BK27" s="68">
        <f t="array" ref="BK27">
_xlfn.LET(_xlpm.COEFF,
IF($AW27+$AX27=0,0,IF(MAX(MIN($AX27,EOMONTH(BK$15,0))-MAX($AW27,BK$15)+1,)&gt;0,1,0)),
_xlfn.IFS(
$ES27="LisChannel",
_xlpm.COEFF*
INDEX({1;1;1.2;1.2;1;1;1;1;1.2;1.2;1.2;1.2},
MATCH(MONTH(BK$15),
{1,2,3,4,5,6,7,8,9,10,11,12})),
CONCATENATE($ES27," ",$L27)="RussOutdoor метро",
_xlpm.COEFF*
INDEX({0.8;0.9;1.1;1.1;1;1;1;1;1.1;1.1;1.1;1.1},
MATCH(MONTH(BK$15),
{1,2,3,4,5,6,7,8,9,10,11,12})),
$ES27&lt;&gt;"LisChannel",
_xlpm.COEFF,
$ES27&lt;&gt;"RussOutdoor",
_xlpm.COEFF))</f>
        <v/>
      </c>
      <c r="BL27" s="62">
        <f>COUNTIFS($AZ27:$BK27,"&gt;0")</f>
        <v/>
      </c>
      <c r="BM27" s="65" t="n"/>
      <c r="BN27" s="121">
        <f>$DJ27</f>
        <v/>
      </c>
      <c r="BO27" s="63">
        <f>$DQ27</f>
        <v/>
      </c>
      <c r="BP27" s="121">
        <f>
IFERROR(
IF($BL27=0,0,
$BN27*(1-$BO27)),
0)</f>
        <v/>
      </c>
      <c r="BQ27" s="121">
        <f t="array" ref="BQ27">
IFERROR(
_xlfn.IFS(
$DH27="день_1",
$BP27*$BL27/($AX27-$AW27+1)*AZ27*(DAY(EOMONTH(AZ$15,0))),
$DH27="день_2",
$BP27/30*MAX(MIN($AX27,EOMONTH(AZ$15,0))-MAX($AW27,AZ$15)+1,),
$DH27="раб.день",
$BP27/30*(IFERROR(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$BP27*AZ27,
$DH27="неделя",
$BP27*AZ27/7*(ROUNDUP((DAY(EOMONTH(AZ$15,0)))/4,0))),
0)</f>
        <v/>
      </c>
      <c r="BR27" s="121">
        <f t="array" ref="BR27">
IFERROR(
_xlfn.IFS(
$DH27="день_1",
$BP27*$BL27/($AX27-$AW27+1)*BA27*(DAY(EOMONTH(BA$15,0))),
$DH27="день_2",
$BP27/30*MAX(MIN($AX27,EOMONTH(BA$15,0))-MAX($AW27,BA$15)+1,),
$DH27="раб.день",
$BP27/30*(IFERROR(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$BP27*BA27,
$DH27="неделя",
$BP27*BA27/7*(ROUNDUP((DAY(EOMONTH(BA$15,0)))/4,0))),
0)</f>
        <v/>
      </c>
      <c r="BS27" s="121">
        <f t="array" ref="BS27">
IFERROR(
_xlfn.IFS(
$DH27="день_1",
$BP27*$BL27/($AX27-$AW27+1)*BB27*(DAY(EOMONTH(BB$15,0))),
$DH27="день_2",
$BP27/30*MAX(MIN($AX27,EOMONTH(BB$15,0))-MAX($AW27,BB$15)+1,),
$DH27="раб.день",
$BP27/30*(IFERROR(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$BP27*BB27,
$DH27="неделя",
$BP27*BB27/7*(ROUNDUP((DAY(EOMONTH(BB$15,0)))/4,0))),
0)</f>
        <v/>
      </c>
      <c r="BT27" s="121">
        <f t="array" ref="BT27">
IFERROR(
_xlfn.IFS(
$DH27="день_1",
$BP27*$BL27/($AX27-$AW27+1)*BC27*(DAY(EOMONTH(BC$15,0))),
$DH27="день_2",
$BP27/30*MAX(MIN($AX27,EOMONTH(BC$15,0))-MAX($AW27,BC$15)+1,),
$DH27="раб.день",
$BP27/30*(IFERROR(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$BP27*BC27,
$DH27="неделя",
$BP27*BC27/7*(ROUNDUP((DAY(EOMONTH(BC$15,0)))/4,0))),
0)</f>
        <v/>
      </c>
      <c r="BU27" s="121">
        <f t="array" ref="BU27">
IFERROR(
_xlfn.IFS(
$DH27="день_1",
$BP27*$BL27/($AX27-$AW27+1)*BD27*(DAY(EOMONTH(BD$15,0))),
$DH27="день_2",
$BP27/30*MAX(MIN($AX27,EOMONTH(BD$15,0))-MAX($AW27,BD$15)+1,),
$DH27="раб.день",
$BP27/30*(IFERROR(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$BP27*BD27,
$DH27="неделя",
$BP27*BD27/7*(ROUNDUP((DAY(EOMONTH(BD$15,0)))/4,0))),
0)</f>
        <v/>
      </c>
      <c r="BV27" s="121">
        <f t="array" ref="BV27">
IFERROR(
_xlfn.IFS(
$DH27="день_1",
$BP27*$BL27/($AX27-$AW27+1)*BE27*(DAY(EOMONTH(BE$15,0))),
$DH27="день_2",
$BP27/30*MAX(MIN($AX27,EOMONTH(BE$15,0))-MAX($AW27,BE$15)+1,),
$DH27="раб.день",
$BP27/30*(IFERROR(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$BP27*BE27,
$DH27="неделя",
$BP27*BE27/7*(ROUNDUP((DAY(EOMONTH(BE$15,0)))/4,0))),
0)</f>
        <v/>
      </c>
      <c r="BW27" s="121">
        <f t="array" ref="BW27">
IFERROR(
_xlfn.IFS(
$DH27="день_1",
$BP27*$BL27/($AX27-$AW27+1)*BF27*(DAY(EOMONTH(BF$15,0))),
$DH27="день_2",
$BP27/30*MAX(MIN($AX27,EOMONTH(BF$15,0))-MAX($AW27,BF$15)+1,),
$DH27="раб.день",
$BP27/30*(IFERROR(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$BP27*BF27,
$DH27="неделя",
$BP27*BF27/7*(ROUNDUP((DAY(EOMONTH(BF$15,0)))/4,0))),
0)</f>
        <v/>
      </c>
      <c r="BX27" s="121">
        <f t="array" ref="BX27">
IFERROR(
_xlfn.IFS(
$DH27="день_1",
$BP27*$BL27/($AX27-$AW27+1)*BG27*(DAY(EOMONTH(BG$15,0))),
$DH27="день_2",
$BP27/30*MAX(MIN($AX27,EOMONTH(BG$15,0))-MAX($AW27,BG$15)+1,),
$DH27="раб.день",
$BP27/30*(IFERROR(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$BP27*BG27,
$DH27="неделя",
$BP27*BG27/7*(ROUNDUP((DAY(EOMONTH(BG$15,0)))/4,0))),
0)</f>
        <v/>
      </c>
      <c r="BY27" s="121">
        <f t="array" ref="BY27">
IFERROR(
_xlfn.IFS(
$DH27="день_1",
$BP27*$BL27/($AX27-$AW27+1)*BH27*(DAY(EOMONTH(BH$15,0))),
$DH27="день_2",
$BP27/30*MAX(MIN($AX27,EOMONTH(BH$15,0))-MAX($AW27,BH$15)+1,),
$DH27="раб.день",
$BP27/30*(IFERROR(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$BP27*BH27,
$DH27="неделя",
$BP27*BH27/7*(ROUNDUP((DAY(EOMONTH(BH$15,0)))/4,0))),
0)</f>
        <v/>
      </c>
      <c r="BZ27" s="121">
        <f t="array" ref="BZ27">
IFERROR(
_xlfn.IFS(
$DH27="день_1",
$BP27*$BL27/($AX27-$AW27+1)*BI27*(DAY(EOMONTH(BI$15,0))),
$DH27="день_2",
$BP27/30*MAX(MIN($AX27,EOMONTH(BI$15,0))-MAX($AW27,BI$15)+1,),
$DH27="раб.день",
$BP27/30*(IFERROR(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$BP27*BI27,
$DH27="неделя",
$BP27*BI27/7*(ROUNDUP((DAY(EOMONTH(BI$15,0)))/4,0))),
0)</f>
        <v/>
      </c>
      <c r="CA27" s="121">
        <f t="array" ref="CA27">
IFERROR(
_xlfn.IFS(
$DH27="день_1",
$BP27*$BL27/($AX27-$AW27+1)*BJ27*(DAY(EOMONTH(BJ$15,0))),
$DH27="день_2",
$BP27/30*MAX(MIN($AX27,EOMONTH(BJ$15,0))-MAX($AW27,BJ$15)+1,),
$DH27="раб.день",
$BP27/30*(IFERROR(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$BP27*BJ27,
$DH27="неделя",
$BP27*BJ27/7*(ROUNDUP((DAY(EOMONTH(BJ$15,0)))/4,0))),
0)</f>
        <v/>
      </c>
      <c r="CB27" s="121">
        <f t="array" ref="CB27">
IFERROR(
_xlfn.IFS(
$DH27="день_1",
$BP27*$BL27/($AX27-$AW27+1)*BK27*(DAY(EOMONTH(BK$15,0))),
$DH27="день_2",
$BP27/30*MAX(MIN($AX27,EOMONTH(BK$15,0))-MAX($AW27,BK$15)+1,),
$DH27="раб.день",
$BP27/30*(IFERROR(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$BP27*BK27,
$DH27="неделя",
$BP27*BK27/7*(ROUNDUP((DAY(EOMONTH(BK$15,0)))/4,0))),
0)</f>
        <v/>
      </c>
      <c r="CC27" s="121">
        <f>SUM($BQ27:$CB27)</f>
        <v/>
      </c>
      <c r="CD27" s="122">
        <f>SUM($EH27:$EH27)</f>
        <v/>
      </c>
      <c r="CE27" s="122">
        <f>$CD27*$AB27</f>
        <v/>
      </c>
      <c r="CF27" s="122">
        <f>SUM($EK27:$EK27)</f>
        <v/>
      </c>
      <c r="CG27" s="122">
        <f>$CF27*$AB27</f>
        <v/>
      </c>
      <c r="CH27" s="122">
        <f>SUM($CC27,$CE27,$CG27)</f>
        <v/>
      </c>
      <c r="CI27" s="122">
        <f>$CH27*(1+$CM27)</f>
        <v/>
      </c>
      <c r="CJ27" s="123" t="n">
        <v>0</v>
      </c>
      <c r="CK27" s="122">
        <f>SUM($CH27:$CH27)*(1+$CJ27)</f>
        <v/>
      </c>
      <c r="CL27" s="122">
        <f>SUM($CH27:$CH27)*(1+$CM27)</f>
        <v/>
      </c>
      <c r="CM27" s="59" t="n"/>
      <c r="CN27" s="59" t="n"/>
      <c r="CO27" s="72" t="n"/>
      <c r="CP27" s="59" t="n"/>
      <c r="CQ27" s="73" t="n"/>
      <c r="CR27" s="73" t="n"/>
      <c r="CS27" s="73" t="n"/>
      <c r="CT27" s="72" t="n"/>
      <c r="CU27" s="79" t="inlineStr">
        <is>
          <t> </t>
        </is>
      </c>
      <c r="CV27" s="60" t="n"/>
      <c r="CW27" s="60" t="n"/>
      <c r="CX27" s="60" t="n"/>
      <c r="CY27" s="123">
        <f>IFERROR(($CC27-$EE27)/($EE27/(1-$DQ27)),0)</f>
        <v/>
      </c>
      <c r="CZ27" s="123">
        <f>IFERROR(1-$EI27/($CE27),0)</f>
        <v/>
      </c>
      <c r="DA27" s="123">
        <f>IFERROR(1-$EL27/($CG27),0)</f>
        <v/>
      </c>
      <c r="DB27" s="122">
        <f>ROUND(IFERROR(($CI27/(1+$CM27)-$EN27),0),2)</f>
        <v/>
      </c>
      <c r="DC27" s="124" t="n"/>
      <c r="DD27" s="121" t="n"/>
      <c r="DE27" s="75" t="n">
        <v>0</v>
      </c>
      <c r="DF27" s="124" t="n"/>
      <c r="DG27" s="121">
        <f>IF($DC27=0,0,$DD27*($DC27*100%-$DE27*$DF27))*SUM($AB27:$AB27)</f>
        <v/>
      </c>
      <c r="DH27" s="125" t="inlineStr">
        <is>
          <t>месяц</t>
        </is>
      </c>
      <c r="DI27" s="126">
        <f t="array" ref="DI27">IFERROR(
IF($ES27="LisChannel",
(ROUND(((INDEX({174.625;153.888888888889;130.972222222222},MATCH($AI27,{2;3;4}),0))*$AG27*$AI27),2)),0),0)</f>
        <v/>
      </c>
      <c r="DJ27" s="126">
        <f>
_xlfn.LET(_xlpm.X,
IFERROR(
IF($ES27="НовиковТВ",
(_xlfn.LET(_xlpm.NTV,
_xlfn.LET(_xlpm.MIN,350000,
IF(SUMIFS($DI:$DI,$ES:$ES,"НовиковТВ")&lt;=_xlpm.MIN,
(SUMIFS($DI:$DI,$ES:$ES,"НовиковТВ")/(COUNTIFS($ES:$ES,"НовиковТВ")))*_xlpm.MIN/SUMIFS($DI:$DI,$ES:$ES,"НовиковТВ"),
DI27)),
_xlpm.NTV+$DG27/(1-(1-(_xlpm.NTV)*(1-$DL27)*(1-$DM27)*(1-$DN27)*(1-$DO27)*(1-$DP27)/_xlpm.NTV))))/(1+$EP27),
$DI27+$DG27/(1-(1-($DI27)*(1-$DL27)*(1-$DM27)*(1-$DN27)*(1-$DO27)*(1-$DP27)/$DI27))),
0),
_xlpm.X*(1+$CM27)*(1+$CW27)-_xlpm.X*(1+$CM27)+_xlpm.X)</f>
        <v/>
      </c>
      <c r="DK27" s="121" t="inlineStr">
        <is>
          <t>послед.</t>
        </is>
      </c>
      <c r="DL27" s="63" t="n">
        <v>0</v>
      </c>
      <c r="DM27" s="63" t="n">
        <v>0</v>
      </c>
      <c r="DN27" s="63" t="n">
        <v>0</v>
      </c>
      <c r="DO27" s="63" t="n">
        <v>0</v>
      </c>
      <c r="DP27" s="63" t="n">
        <v>0</v>
      </c>
      <c r="DQ27" s="63">
        <f t="array" ref="DQ27">IFERROR(_xlfn.IFS(
$DK27="послед.",1-(1-$DL27)*(1-$DM27)*(1-$DN27)*(1-$DO27)*(1-$DP27),
$DK27="сумм.",$DL27+$DM27+$DN27+$DO27+$DP27),
0)</f>
        <v/>
      </c>
      <c r="DR27" s="121">
        <f t="array" ref="DR27">
IFERROR(
_xlfn.IFS(
$BL27=0,
0,
$BL27&gt;0,
_xlfn.IFS($DK27="послед.",
$DJ27*(1-$DL27)*(1-$DM27)*(1-$DN27)*(1-$DO27)*(1-$DP27),
$DK27="сумм.",
$DJ27*(1-($DL27+$DM27+$DN27+$DO27+$DP27)))),0)</f>
        <v/>
      </c>
      <c r="DS27" s="121">
        <f t="array" ref="DS27">
IFERROR(_xlfn.IFS(
$DH27="день_1",
$DR27*$BL27/($AX27-$AW27+1)*AZ27*(DAY(EOMONTH(AZ$15,0))),
$DH27="день_2",
$DR27/30*MAX(MIN($AX27,EOMONTH(AZ$15,0))-MAX($AW27,AZ$15)+1,),
$DH27="раб.день",
$DR27/30*(IFERROR(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$DR27*AZ27,
$DH27="неделя",
$DR27*AZ27/7*(ROUNDUP((DAY(EOMONTH(AZ$15,0)))/4,0))),
0)</f>
        <v/>
      </c>
      <c r="DT27" s="121">
        <f t="array" ref="DT27">
IFERROR(_xlfn.IFS(
$DH27="день_1",
$DR27*$BL27/($AX27-$AW27+1)*BA27*(DAY(EOMONTH(BA$15,0))),
$DH27="день_2",
$DR27/30*MAX(MIN($AX27,EOMONTH(BA$15,0))-MAX($AW27,BA$15)+1,),
$DH27="раб.день",
$DR27/30*(IFERROR(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$DR27*BA27,
$DH27="неделя",
$DR27*BA27/7*(ROUNDUP((DAY(EOMONTH(BA$15,0)))/4,0))),
0)</f>
        <v/>
      </c>
      <c r="DU27" s="121">
        <f t="array" ref="DU27">
IFERROR(_xlfn.IFS(
$DH27="день_1",
$DR27*$BL27/($AX27-$AW27+1)*BB27*(DAY(EOMONTH(BB$15,0))),
$DH27="день_2",
$DR27/30*MAX(MIN($AX27,EOMONTH(BB$15,0))-MAX($AW27,BB$15)+1,),
$DH27="раб.день",
$DR27/30*(IFERROR(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$DR27*BB27,
$DH27="неделя",
$DR27*BB27/7*(ROUNDUP((DAY(EOMONTH(BB$15,0)))/4,0))),
0)</f>
        <v/>
      </c>
      <c r="DV27" s="121">
        <f t="array" ref="DV27">
IFERROR(_xlfn.IFS(
$DH27="день_1",
$DR27*$BL27/($AX27-$AW27+1)*BC27*(DAY(EOMONTH(BC$15,0))),
$DH27="день_2",
$DR27/30*MAX(MIN($AX27,EOMONTH(BC$15,0))-MAX($AW27,BC$15)+1,),
$DH27="раб.день",
$DR27/30*(IFERROR(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$DR27*BC27,
$DH27="неделя",
$DR27*BC27/7*(ROUNDUP((DAY(EOMONTH(BC$15,0)))/4,0))),
0)</f>
        <v/>
      </c>
      <c r="DW27" s="121">
        <f t="array" ref="DW27">
IFERROR(_xlfn.IFS(
$DH27="день_1",
$DR27*$BL27/($AX27-$AW27+1)*BD27*(DAY(EOMONTH(BD$15,0))),
$DH27="день_2",
$DR27/30*MAX(MIN($AX27,EOMONTH(BD$15,0))-MAX($AW27,BD$15)+1,),
$DH27="раб.день",
$DR27/30*(IFERROR(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$DR27*BD27,
$DH27="неделя",
$DR27*BD27/7*(ROUNDUP((DAY(EOMONTH(BD$15,0)))/4,0))),
0)</f>
        <v/>
      </c>
      <c r="DX27" s="121">
        <f t="array" ref="DX27">
IFERROR(_xlfn.IFS(
$DH27="день_1",
$DR27*$BL27/($AX27-$AW27+1)*BE27*(DAY(EOMONTH(BE$15,0))),
$DH27="день_2",
$DR27/30*MAX(MIN($AX27,EOMONTH(BE$15,0))-MAX($AW27,BE$15)+1,),
$DH27="раб.день",
$DR27/30*(IFERROR(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$DR27*BE27,
$DH27="неделя",
$DR27*BE27/7*(ROUNDUP((DAY(EOMONTH(BE$15,0)))/4,0))),
0)</f>
        <v/>
      </c>
      <c r="DY27" s="121">
        <f t="array" ref="DY27">
IFERROR(_xlfn.IFS(
$DH27="день_1",
$DR27*$BL27/($AX27-$AW27+1)*BF27*(DAY(EOMONTH(BF$15,0))),
$DH27="день_2",
$DR27/30*MAX(MIN($AX27,EOMONTH(BF$15,0))-MAX($AW27,BF$15)+1,),
$DH27="раб.день",
$DR27/30*(IFERROR(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$DR27*BF27,
$DH27="неделя",
$DR27*BF27/7*(ROUNDUP((DAY(EOMONTH(BF$15,0)))/4,0))),
0)</f>
        <v/>
      </c>
      <c r="DZ27" s="121">
        <f t="array" ref="DZ27">
IFERROR(_xlfn.IFS(
$DH27="день_1",
$DR27*$BL27/($AX27-$AW27+1)*BG27*(DAY(EOMONTH(BG$15,0))),
$DH27="день_2",
$DR27/30*MAX(MIN($AX27,EOMONTH(BG$15,0))-MAX($AW27,BG$15)+1,),
$DH27="раб.день",
$DR27/30*(IFERROR(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$DR27*BG27,
$DH27="неделя",
$DR27*BG27/7*(ROUNDUP((DAY(EOMONTH(BG$15,0)))/4,0))),
0)</f>
        <v/>
      </c>
      <c r="EA27" s="121">
        <f t="array" ref="EA27">
IFERROR(_xlfn.IFS(
$DH27="день_1",
$DR27*$BL27/($AX27-$AW27+1)*BH27*(DAY(EOMONTH(BH$15,0))),
$DH27="день_2",
$DR27/30*MAX(MIN($AX27,EOMONTH(BH$15,0))-MAX($AW27,BH$15)+1,),
$DH27="раб.день",
$DR27/30*(IFERROR(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$DR27*BH27,
$DH27="неделя",
$DR27*BH27/7*(ROUNDUP((DAY(EOMONTH(BH$15,0)))/4,0))),
0)</f>
        <v/>
      </c>
      <c r="EB27" s="121">
        <f t="array" ref="EB27">
IFERROR(_xlfn.IFS(
$DH27="день_1",
$DR27*$BL27/($AX27-$AW27+1)*BI27*(DAY(EOMONTH(BI$15,0))),
$DH27="день_2",
$DR27/30*MAX(MIN($AX27,EOMONTH(BI$15,0))-MAX($AW27,BI$15)+1,),
$DH27="раб.день",
$DR27/30*(IFERROR(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$DR27*BI27,
$DH27="неделя",
$DR27*BI27/7*(ROUNDUP((DAY(EOMONTH(BI$15,0)))/4,0))),
0)</f>
        <v/>
      </c>
      <c r="EC27" s="121">
        <f t="array" ref="EC27">
IFERROR(_xlfn.IFS(
$DH27="день_1",
$DR27*$BL27/($AX27-$AW27+1)*BJ27*(DAY(EOMONTH(BJ$15,0))),
$DH27="день_2",
$DR27/30*MAX(MIN($AX27,EOMONTH(BJ$15,0))-MAX($AW27,BJ$15)+1,),
$DH27="раб.день",
$DR27/30*(IFERROR(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$DR27*BJ27,
$DH27="неделя",
$DR27*BJ27/7*(ROUNDUP((DAY(EOMONTH(BJ$15,0)))/4,0))),
0)</f>
        <v/>
      </c>
      <c r="ED27" s="121">
        <f t="array" ref="ED27">
IFERROR(_xlfn.IFS(
$DH27="день_1",
$DR27*$BL27/($AX27-$AW27+1)*BK27*(DAY(EOMONTH(BK$15,0))),
$DH27="день_2",
$DR27/30*MAX(MIN($AX27,EOMONTH(BK$15,0))-MAX($AW27,BK$15)+1,),
$DH27="раб.день",
$DR27/30*(IFERROR(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$DR27*BK27,
$DH27="неделя",
$DR27*BK27/7*(ROUNDUP((DAY(EOMONTH(BK$15,0)))/4,0))),
0)</f>
        <v/>
      </c>
      <c r="EE27" s="121">
        <f>SUM($DS27,$DT27,$DU27,$DV27,$DW27,$DX27,$DY27,$DZ27,$EA27,$EB27,$EC27,$ED27)</f>
        <v/>
      </c>
      <c r="EF27" s="121">
        <f>IFERROR(ROUND($EE27*(1+$EP27),2),0)</f>
        <v/>
      </c>
      <c r="EG27" s="124" t="n">
        <v>1</v>
      </c>
      <c r="EH27" s="122" t="n">
        <v>0</v>
      </c>
      <c r="EI27" s="122">
        <f>ROUND(SUM($EH27:$EH27)*SUM($AB27:$AB27)*$EG27,2)</f>
        <v/>
      </c>
      <c r="EJ27" s="122">
        <f>ROUND($EI27*(1+$EP27),2)</f>
        <v/>
      </c>
      <c r="EK27" s="122" t="n">
        <v>0</v>
      </c>
      <c r="EL27" s="122">
        <f>ROUND(SUM($EK27:$EK27)*SUM($AB27:$AB27)*$EG27,2)</f>
        <v/>
      </c>
      <c r="EM27" s="122">
        <f>ROUND($EL27*(1+$EP27),2)</f>
        <v/>
      </c>
      <c r="EN27" s="122">
        <f>SUM($EE27,$EI27,$EL27)</f>
        <v/>
      </c>
      <c r="EO27" s="122">
        <f>SUM($EF27,$EJ27,$EM27)</f>
        <v/>
      </c>
      <c r="EP27" s="59" t="n"/>
      <c r="EQ27" s="59" t="n"/>
      <c r="ER27" s="60">
        <f t="array" ref="ER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MATCH(ES27,
{"AMS";"RussOutdoor";"HD Outdoor";"Ingroup";"IQ";"Ledproduction";"LisChannel";"Logic";"Media-PPL";"NovikovTV | НовиковТВ";"SMA";"SOK";"КрокусТВ | CrocusTV | IndoorTV";"Сити";"ТЯК Москва"},
0)),"")</f>
        <v/>
      </c>
      <c r="ES27" s="60" t="n"/>
      <c r="ET27" s="60">
        <f t="array" ref="ET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MATCH(ES27,
{"AMS";"RussOutdoor";"HD Outdoor";"Ingroup";"IQ";"Ledproduction";"LisChannel";"Logic";"Media-PPL";"NovikovTV | НовиковТВ";"SMA";"SOK";"КрокусТВ | CrocusTV | IndoorTV";"Сити";"ТЯК Москва"},
0)),"")</f>
        <v/>
      </c>
      <c r="EU27" s="60" t="n"/>
      <c r="EV27" s="60" t="n"/>
      <c r="EW27" t="inlineStr">
        <is>
          <t> </t>
        </is>
      </c>
    </row>
  </sheetData>
  <autoFilter ref="A15:EV22"/>
  <conditionalFormatting sqref="F8">
    <cfRule type="cellIs" priority="8394" operator="equal" dxfId="0">
      <formula>"выкл"</formula>
    </cfRule>
    <cfRule type="cellIs" priority="8395" operator="equal" dxfId="1">
      <formula>"вкл"</formula>
    </cfRule>
  </conditionalFormatting>
  <conditionalFormatting sqref="A16:AY27 BL16:BL27 BN16:BP27 CC16:CT27 CY16:DH27 DK16:DR27 EE16:EV27">
    <cfRule type="expression" priority="1181" dxfId="1">
      <formula>AND(ROW(A16)=CELL("строка"),$F$8="вкл")</formula>
    </cfRule>
    <cfRule type="containsBlanks" priority="1194" dxfId="0">
      <formula>LEN(TRIM(A16))=0</formula>
    </cfRule>
  </conditionalFormatting>
  <conditionalFormatting sqref="BL16:BL27">
    <cfRule type="cellIs" priority="1191" operator="greaterThan" dxfId="5">
      <formula>0</formula>
    </cfRule>
    <cfRule type="cellIs" priority="1192" operator="equal" dxfId="4">
      <formula>0</formula>
    </cfRule>
  </conditionalFormatting>
  <conditionalFormatting sqref="DB16:DB27">
    <cfRule type="cellIs" priority="1185" operator="greaterThan" dxfId="5">
      <formula>0</formula>
    </cfRule>
    <cfRule type="cellIs" priority="1186" operator="equal" dxfId="4">
      <formula>0</formula>
    </cfRule>
    <cfRule type="cellIs" priority="1187" operator="lessThan" dxfId="4">
      <formula>0</formula>
    </cfRule>
  </conditionalFormatting>
  <conditionalFormatting sqref="AY9 BO16:BO27 DS9:ED9">
    <cfRule type="cellIs" priority="1184" operator="lessThan" dxfId="4">
      <formula>0</formula>
    </cfRule>
  </conditionalFormatting>
  <conditionalFormatting sqref="CY16:DA27">
    <cfRule type="cellIs" priority="1182" operator="greaterThan" dxfId="5">
      <formula>0</formula>
    </cfRule>
    <cfRule type="cellIs" priority="1183" operator="lessThan" dxfId="4">
      <formula>0</formula>
    </cfRule>
    <cfRule type="cellIs" priority="1193" operator="equal" dxfId="4">
      <formula>0</formula>
    </cfRule>
  </conditionalFormatting>
  <conditionalFormatting sqref="EH16:EH27 EK16:EK27">
    <cfRule type="containsText" priority="1179" operator="containsText" dxfId="19" text="под запрос">
      <formula>NOT(ISERROR(SEARCH("под запрос",EH16)))</formula>
    </cfRule>
  </conditionalFormatting>
  <conditionalFormatting sqref="CY16:DB27">
    <cfRule type="expression" priority="8397" dxfId="1">
      <formula>AND(ROW(CV16)=CELL("строка"),$F$8="вкл")</formula>
    </cfRule>
  </conditionalFormatting>
  <conditionalFormatting sqref="BM16:BM27">
    <cfRule type="containsText" priority="211" operator="containsText" dxfId="17" text="пакет">
      <formula>NOT(ISERROR(SEARCH("пакет",BM16)))</formula>
    </cfRule>
    <cfRule type="expression" priority="212" dxfId="1">
      <formula>AND(ROW(BM16)=CELL("строка"),$F$8="вкл")</formula>
    </cfRule>
    <cfRule type="containsBlanks" priority="213" dxfId="0">
      <formula>LEN(TRIM(BM16))=0</formula>
    </cfRule>
  </conditionalFormatting>
  <conditionalFormatting sqref="ER16:ER27 EU16:EV27">
    <cfRule type="containsText" priority="198" operator="containsText" dxfId="14" text="!!!ВАЖНО">
      <formula>NOT(ISERROR(SEARCH("!!!ВАЖНО",ER16)))</formula>
    </cfRule>
  </conditionalFormatting>
  <conditionalFormatting sqref="CV16:CX27">
    <cfRule type="containsText" priority="199" operator="containsText" dxfId="13" text="резерв">
      <formula>NOT(ISERROR(SEARCH("резерв",CV16)))</formula>
    </cfRule>
    <cfRule type="containsText" priority="200" operator="containsText" dxfId="12" text="снят">
      <formula>NOT(ISERROR(SEARCH("снят",CV16)))</formula>
    </cfRule>
    <cfRule type="expression" priority="201" dxfId="1">
      <formula>AND(ROW(CV16)=CELL("строка"),$F$8="вкл")</formula>
    </cfRule>
    <cfRule type="containsBlanks" priority="202" dxfId="0">
      <formula>LEN(TRIM(CV16))=0</formula>
    </cfRule>
  </conditionalFormatting>
  <conditionalFormatting sqref="DI16:DJ27">
    <cfRule type="expression" priority="9" dxfId="1">
      <formula>AND(ROW(DI16)=CELL("строка"),$F$8="вкл")</formula>
    </cfRule>
    <cfRule type="containsBlanks" priority="10" dxfId="0">
      <formula>LEN(TRIM(DI16))=0</formula>
    </cfRule>
  </conditionalFormatting>
  <conditionalFormatting sqref="AZ16:BK27">
    <cfRule type="expression" priority="5" dxfId="1">
      <formula>AND(ROW(AZ16)=CELL("строка"),$F$8="вкл")</formula>
    </cfRule>
    <cfRule type="containsBlanks" priority="8" dxfId="0">
      <formula>LEN(TRIM(AZ16))=0</formula>
    </cfRule>
    <cfRule type="cellIs" priority="6" operator="greaterThan" dxfId="5">
      <formula>0</formula>
    </cfRule>
    <cfRule type="cellIs" priority="7" operator="equal" dxfId="4">
      <formula>0</formula>
    </cfRule>
  </conditionalFormatting>
  <conditionalFormatting sqref="DS16:ED27">
    <cfRule type="expression" priority="3" dxfId="1">
      <formula>AND(ROW(DS16)=CELL("строка"),$F$8="вкл")</formula>
    </cfRule>
    <cfRule type="containsBlanks" priority="4" dxfId="0">
      <formula>LEN(TRIM(DS16))=0</formula>
    </cfRule>
  </conditionalFormatting>
  <conditionalFormatting sqref="BQ16:CB27">
    <cfRule type="expression" priority="1" dxfId="1">
      <formula>AND(ROW(BQ16)=CELL("строка"),$F$8="вкл")</formula>
    </cfRule>
    <cfRule type="containsBlanks" priority="2" dxfId="0">
      <formula>LEN(TRIM(BQ16))=0</formula>
    </cfRule>
  </conditionalFormatting>
  <dataValidations count="3">
    <dataValidation sqref="F8" showDropDown="0" showInputMessage="1" showErrorMessage="1" allowBlank="1" type="list">
      <formula1>"ВКЛ,ВЫКЛ"</formula1>
    </dataValidation>
    <dataValidation sqref="DK16:DK27" showDropDown="0" showInputMessage="1" showErrorMessage="1" allowBlank="1" type="list">
      <formula1>"сумм.,послед."</formula1>
    </dataValidation>
    <dataValidation sqref="DH16:DH27" showDropDown="0" showInputMessage="1" showErrorMessage="1" allowBlank="1" type="list">
      <formula1>"день_1,день_2,раб.день,месяц"</formula1>
    </dataValidation>
  </dataValidation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Никита Филиппов</dc:creator>
  <dcterms:created xsi:type="dcterms:W3CDTF">2015-06-05T18:17:20Z</dcterms:created>
  <dcterms:modified xsi:type="dcterms:W3CDTF">2025-10-31T07:34:00Z</dcterms:modified>
  <cp:lastModifiedBy>Дмитрий Плахотный</cp:lastModifiedBy>
</cp:coreProperties>
</file>