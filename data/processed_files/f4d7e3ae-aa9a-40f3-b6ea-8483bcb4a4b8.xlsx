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20" yWindow="-120" windowWidth="29040" windowHeight="15720" tabRatio="600" firstSheet="0" activeTab="1" autoFilterDateGrouping="1"/>
  </bookViews>
  <sheets>
    <sheet name="СВОД" sheetId="1" state="visible"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6">
    <numFmt numFmtId="164" formatCode="_-* #,##0.00\ &quot;₽&quot;_-;\-* #,##0.00\ &quot;₽&quot;_-;_-* &quot;-&quot;??\ &quot;₽&quot;_-;_-@_-"/>
    <numFmt numFmtId="165" formatCode="_-* #,##0.00\ _₽_-;\-* #,##0.00\ _₽_-;_-* &quot;-&quot;??\ _₽_-;_-@_-"/>
    <numFmt numFmtId="166" formatCode="0.0"/>
    <numFmt numFmtId="167" formatCode="0.0%"/>
    <numFmt numFmtId="168" formatCode="0_ ;\-0\ "/>
    <numFmt numFmtId="169"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69" fontId="18" fillId="0" borderId="0"/>
    <xf numFmtId="169"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27">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cellXfs>
  <cellStyles count="25">
    <cellStyle name="Normal" xfId="0" builtinId="0"/>
    <cellStyle name="Гиперссылка 13" xfId="1"/>
    <cellStyle name="Обычный 2 2" xfId="2"/>
    <cellStyle name="Гиперссылка 12" xfId="3"/>
    <cellStyle name="Обычный 3 2 2" xfId="4"/>
    <cellStyle name="Обычный 2 4" xfId="5"/>
    <cellStyle name="Currency"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43">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E36" sqref="E36"/>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09">
        <f>SUBTOTAL(9,B4:B18)</f>
        <v/>
      </c>
      <c r="C2" s="109">
        <f>SUBTOTAL(9,C4:C18)</f>
        <v/>
      </c>
      <c r="D2" s="109">
        <f>SUBTOTAL(9,D4:D18)</f>
        <v/>
      </c>
      <c r="E2" s="109">
        <f>SUBTOTAL(9,E4:E18)</f>
        <v/>
      </c>
      <c r="F2" s="109">
        <f>SUBTOTAL(9,F4:F18)</f>
        <v/>
      </c>
      <c r="G2" s="109" t="n"/>
      <c r="H2" s="109">
        <f>SUBTOTAL(9,H4:H18)</f>
        <v/>
      </c>
      <c r="I2" s="109">
        <f>SUBTOTAL(9,I4:I18)</f>
        <v/>
      </c>
      <c r="J2" s="109">
        <f>SUBTOTAL(9,J4:J18)</f>
        <v/>
      </c>
      <c r="K2" s="109">
        <f>SUBTOTAL(9,K4:K18)</f>
        <v/>
      </c>
      <c r="L2" s="109">
        <f>SUBTOTAL(9,L4:L18)</f>
        <v/>
      </c>
      <c r="M2" s="109" t="n"/>
      <c r="N2" s="109">
        <f>SUBTOTAL(9,N4:N18)</f>
        <v/>
      </c>
      <c r="O2" s="109">
        <f>SUBTOTAL(9,O4:O18)</f>
        <v/>
      </c>
      <c r="P2" s="109">
        <f>SUBTOTAL(9,P4:P18)</f>
        <v/>
      </c>
      <c r="Q2" s="109">
        <f>SUBTOTAL(9,Q4:Q18)</f>
        <v/>
      </c>
      <c r="R2" s="109">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0">
        <f>SUMIFS(МП!$CC:$CC,МП!$ES:$ES,$A4)</f>
        <v/>
      </c>
      <c r="C4" s="110">
        <f>SUMIFS(МП!$CE:$CE,МП!$ES:$ES,$A4)</f>
        <v/>
      </c>
      <c r="D4" s="110">
        <f>SUMIFS(МП!$CG:$CG,МП!$ES:$ES,$A4)</f>
        <v/>
      </c>
      <c r="E4" s="110">
        <f>SUM(B4:D4)</f>
        <v/>
      </c>
      <c r="F4" s="110">
        <f>E4*(1+G4)</f>
        <v/>
      </c>
      <c r="G4" s="100">
        <f>IFERROR(AVERAGEIFS(МП!$CM:$CM,МП!$ES:$ES,$A4),0)</f>
        <v/>
      </c>
      <c r="H4" s="110">
        <f>SUMIFS(МП!$EE:$EE,МП!$ES:$ES,$A4)</f>
        <v/>
      </c>
      <c r="I4" s="110">
        <f>SUMIFS(МП!$EI:$EI,МП!$ES:$ES,$A4)</f>
        <v/>
      </c>
      <c r="J4" s="110">
        <f>SUMIFS(МП!$EL:$EL,МП!$ES:$ES,$A4)</f>
        <v/>
      </c>
      <c r="K4" s="110">
        <f>SUM(H4:J4)</f>
        <v/>
      </c>
      <c r="L4" s="110">
        <f>K4*(1+M4)</f>
        <v/>
      </c>
      <c r="M4" s="100">
        <f>IFERROR(AVERAGEIFS(МП!$EP:$EP,МП!$ES:$ES,$A4),0)</f>
        <v/>
      </c>
      <c r="N4" s="110">
        <f>SUMIFS(МП!$EE:$EE,МП!$ES:$ES,$A4,МП!$CV:$CV,"подтверждено")</f>
        <v/>
      </c>
      <c r="O4" s="110">
        <f>SUMIFS(МП!$EI:$EI,МП!$ES:$ES,$A4,МП!$CV:$CV,"подтверждено")</f>
        <v/>
      </c>
      <c r="P4" s="110">
        <f>SUMIFS(МП!$EL:$EL,МП!$ES:$ES,$A4,МП!$CV:$CV,"подтверждено")</f>
        <v/>
      </c>
      <c r="Q4" s="110">
        <f>SUM(N4:P4)</f>
        <v/>
      </c>
      <c r="R4" s="110">
        <f>Q4*(1+M4)</f>
        <v/>
      </c>
    </row>
    <row r="5">
      <c r="A5" s="98" t="n"/>
      <c r="B5" s="110">
        <f>SUMIFS(МП!$CC:$CC,МП!$ES:$ES,$A5)</f>
        <v/>
      </c>
      <c r="C5" s="110">
        <f>SUMIFS(МП!$CE:$CE,МП!$ES:$ES,$A5)</f>
        <v/>
      </c>
      <c r="D5" s="110">
        <f>SUMIFS(МП!$CG:$CG,МП!$ES:$ES,$A5)</f>
        <v/>
      </c>
      <c r="E5" s="110">
        <f>SUM(B5:D5)</f>
        <v/>
      </c>
      <c r="F5" s="110">
        <f>E5*(1+G5)</f>
        <v/>
      </c>
      <c r="G5" s="100">
        <f>IFERROR(AVERAGEIFS(МП!$CM:$CM,МП!$ES:$ES,$A5),0)</f>
        <v/>
      </c>
      <c r="H5" s="110">
        <f>SUMIFS(МП!$EE:$EE,МП!$ES:$ES,$A5)</f>
        <v/>
      </c>
      <c r="I5" s="110">
        <f>SUMIFS(МП!$EI:$EI,МП!$ES:$ES,$A5)</f>
        <v/>
      </c>
      <c r="J5" s="110">
        <f>SUMIFS(МП!$EL:$EL,МП!$ES:$ES,$A5)</f>
        <v/>
      </c>
      <c r="K5" s="110">
        <f>SUM(H5:J5)</f>
        <v/>
      </c>
      <c r="L5" s="110">
        <f>K5*(1+M5)</f>
        <v/>
      </c>
      <c r="M5" s="100">
        <f>IFERROR(AVERAGEIFS(МП!$EP:$EP,МП!$ES:$ES,$A5),0)</f>
        <v/>
      </c>
      <c r="N5" s="110">
        <f>SUMIFS(МП!$EE:$EE,МП!$ES:$ES,$A5,МП!$CV:$CV,"подтверждено")</f>
        <v/>
      </c>
      <c r="O5" s="110">
        <f>SUMIFS(МП!$EI:$EI,МП!$ES:$ES,$A5,МП!$CV:$CV,"подтверждено")</f>
        <v/>
      </c>
      <c r="P5" s="110">
        <f>SUMIFS(МП!$EL:$EL,МП!$ES:$ES,$A5,МП!$CV:$CV,"подтверждено")</f>
        <v/>
      </c>
      <c r="Q5" s="110">
        <f>SUM(N5:P5)</f>
        <v/>
      </c>
      <c r="R5" s="110">
        <f>Q5*(1+M5)</f>
        <v/>
      </c>
    </row>
    <row r="6">
      <c r="A6" s="98" t="n"/>
      <c r="B6" s="110">
        <f>SUMIFS(МП!$CC:$CC,МП!$ES:$ES,$A6)</f>
        <v/>
      </c>
      <c r="C6" s="110">
        <f>SUMIFS(МП!$CE:$CE,МП!$ES:$ES,$A6)</f>
        <v/>
      </c>
      <c r="D6" s="110">
        <f>SUMIFS(МП!$CG:$CG,МП!$ES:$ES,$A6)</f>
        <v/>
      </c>
      <c r="E6" s="110">
        <f>SUM(B6:D6)</f>
        <v/>
      </c>
      <c r="F6" s="110">
        <f>E6*(1+G6)</f>
        <v/>
      </c>
      <c r="G6" s="100">
        <f>IFERROR(AVERAGEIFS(МП!$CM:$CM,МП!$ES:$ES,$A6),0)</f>
        <v/>
      </c>
      <c r="H6" s="110">
        <f>SUMIFS(МП!$EE:$EE,МП!$ES:$ES,$A6)</f>
        <v/>
      </c>
      <c r="I6" s="110">
        <f>SUMIFS(МП!$EI:$EI,МП!$ES:$ES,$A6)</f>
        <v/>
      </c>
      <c r="J6" s="110">
        <f>SUMIFS(МП!$EL:$EL,МП!$ES:$ES,$A6)</f>
        <v/>
      </c>
      <c r="K6" s="110">
        <f>SUM(H6:J6)</f>
        <v/>
      </c>
      <c r="L6" s="110">
        <f>K6*(1+M6)</f>
        <v/>
      </c>
      <c r="M6" s="100">
        <f>IFERROR(AVERAGEIFS(МП!$EP:$EP,МП!$ES:$ES,$A6),0)</f>
        <v/>
      </c>
      <c r="N6" s="110">
        <f>SUMIFS(МП!$EE:$EE,МП!$ES:$ES,$A6,МП!$CV:$CV,"подтверждено")</f>
        <v/>
      </c>
      <c r="O6" s="110">
        <f>SUMIFS(МП!$EI:$EI,МП!$ES:$ES,$A6,МП!$CV:$CV,"подтверждено")</f>
        <v/>
      </c>
      <c r="P6" s="110">
        <f>SUMIFS(МП!$EL:$EL,МП!$ES:$ES,$A6,МП!$CV:$CV,"подтверждено")</f>
        <v/>
      </c>
      <c r="Q6" s="110">
        <f>SUM(N6:P6)</f>
        <v/>
      </c>
      <c r="R6" s="110">
        <f>Q6*(1+M6)</f>
        <v/>
      </c>
    </row>
    <row r="7">
      <c r="A7" s="98" t="n"/>
      <c r="B7" s="110">
        <f>SUMIFS(МП!$CC:$CC,МП!$ES:$ES,$A7)</f>
        <v/>
      </c>
      <c r="C7" s="110">
        <f>SUMIFS(МП!$CE:$CE,МП!$ES:$ES,$A7)</f>
        <v/>
      </c>
      <c r="D7" s="110">
        <f>SUMIFS(МП!$CG:$CG,МП!$ES:$ES,$A7)</f>
        <v/>
      </c>
      <c r="E7" s="110">
        <f>SUM(B7:D7)</f>
        <v/>
      </c>
      <c r="F7" s="110">
        <f>E7*(1+G7)</f>
        <v/>
      </c>
      <c r="G7" s="100">
        <f>IFERROR(AVERAGEIFS(МП!$CM:$CM,МП!$ES:$ES,$A7),0)</f>
        <v/>
      </c>
      <c r="H7" s="110">
        <f>SUMIFS(МП!$EE:$EE,МП!$ES:$ES,$A7)</f>
        <v/>
      </c>
      <c r="I7" s="110">
        <f>SUMIFS(МП!$EI:$EI,МП!$ES:$ES,$A7)</f>
        <v/>
      </c>
      <c r="J7" s="110">
        <f>SUMIFS(МП!$EL:$EL,МП!$ES:$ES,$A7)</f>
        <v/>
      </c>
      <c r="K7" s="110">
        <f>SUM(H7:J7)</f>
        <v/>
      </c>
      <c r="L7" s="110">
        <f>K7*(1+M7)</f>
        <v/>
      </c>
      <c r="M7" s="100">
        <f>IFERROR(AVERAGEIFS(МП!$EP:$EP,МП!$ES:$ES,$A7),0)</f>
        <v/>
      </c>
      <c r="N7" s="110">
        <f>SUMIFS(МП!$EE:$EE,МП!$ES:$ES,$A7,МП!$CV:$CV,"подтверждено")</f>
        <v/>
      </c>
      <c r="O7" s="110">
        <f>SUMIFS(МП!$EI:$EI,МП!$ES:$ES,$A7,МП!$CV:$CV,"подтверждено")</f>
        <v/>
      </c>
      <c r="P7" s="110">
        <f>SUMIFS(МП!$EL:$EL,МП!$ES:$ES,$A7,МП!$CV:$CV,"подтверждено")</f>
        <v/>
      </c>
      <c r="Q7" s="110">
        <f>SUM(N7:P7)</f>
        <v/>
      </c>
      <c r="R7" s="110">
        <f>Q7*(1+M7)</f>
        <v/>
      </c>
    </row>
    <row r="8">
      <c r="A8" s="98" t="n"/>
      <c r="B8" s="110">
        <f>SUMIFS(МП!$CC:$CC,МП!$ES:$ES,$A8)</f>
        <v/>
      </c>
      <c r="C8" s="110">
        <f>SUMIFS(МП!$CE:$CE,МП!$ES:$ES,$A8)</f>
        <v/>
      </c>
      <c r="D8" s="110">
        <f>SUMIFS(МП!$CG:$CG,МП!$ES:$ES,$A8)</f>
        <v/>
      </c>
      <c r="E8" s="110">
        <f>SUM(B8:D8)</f>
        <v/>
      </c>
      <c r="F8" s="110">
        <f>E8*(1+G8)</f>
        <v/>
      </c>
      <c r="G8" s="100">
        <f>IFERROR(AVERAGEIFS(МП!$CM:$CM,МП!$ES:$ES,$A8),0)</f>
        <v/>
      </c>
      <c r="H8" s="110">
        <f>SUMIFS(МП!$EE:$EE,МП!$ES:$ES,$A8)</f>
        <v/>
      </c>
      <c r="I8" s="110">
        <f>SUMIFS(МП!$EI:$EI,МП!$ES:$ES,$A8)</f>
        <v/>
      </c>
      <c r="J8" s="110">
        <f>SUMIFS(МП!$EL:$EL,МП!$ES:$ES,$A8)</f>
        <v/>
      </c>
      <c r="K8" s="110">
        <f>SUM(H8:J8)</f>
        <v/>
      </c>
      <c r="L8" s="110">
        <f>K8*(1+M8)</f>
        <v/>
      </c>
      <c r="M8" s="100">
        <f>IFERROR(AVERAGEIFS(МП!$EP:$EP,МП!$ES:$ES,$A8),0)</f>
        <v/>
      </c>
      <c r="N8" s="110">
        <f>SUMIFS(МП!$EE:$EE,МП!$ES:$ES,$A8,МП!$CV:$CV,"подтверждено")</f>
        <v/>
      </c>
      <c r="O8" s="110">
        <f>SUMIFS(МП!$EI:$EI,МП!$ES:$ES,$A8,МП!$CV:$CV,"подтверждено")</f>
        <v/>
      </c>
      <c r="P8" s="110">
        <f>SUMIFS(МП!$EL:$EL,МП!$ES:$ES,$A8,МП!$CV:$CV,"подтверждено")</f>
        <v/>
      </c>
      <c r="Q8" s="110">
        <f>SUM(N8:P8)</f>
        <v/>
      </c>
      <c r="R8" s="110">
        <f>Q8*(1+M8)</f>
        <v/>
      </c>
    </row>
    <row r="9">
      <c r="A9" s="98" t="n"/>
      <c r="B9" s="110">
        <f>SUMIFS(МП!$CC:$CC,МП!$ES:$ES,$A9)</f>
        <v/>
      </c>
      <c r="C9" s="110">
        <f>SUMIFS(МП!$CE:$CE,МП!$ES:$ES,$A9)</f>
        <v/>
      </c>
      <c r="D9" s="110">
        <f>SUMIFS(МП!$CG:$CG,МП!$ES:$ES,$A9)</f>
        <v/>
      </c>
      <c r="E9" s="110">
        <f>SUM(B9:D9)</f>
        <v/>
      </c>
      <c r="F9" s="110">
        <f>E9*(1+G9)</f>
        <v/>
      </c>
      <c r="G9" s="100">
        <f>IFERROR(AVERAGEIFS(МП!$CM:$CM,МП!$ES:$ES,$A9),0)</f>
        <v/>
      </c>
      <c r="H9" s="110">
        <f>SUMIFS(МП!$EE:$EE,МП!$ES:$ES,$A9)</f>
        <v/>
      </c>
      <c r="I9" s="110">
        <f>SUMIFS(МП!$EI:$EI,МП!$ES:$ES,$A9)</f>
        <v/>
      </c>
      <c r="J9" s="110">
        <f>SUMIFS(МП!$EL:$EL,МП!$ES:$ES,$A9)</f>
        <v/>
      </c>
      <c r="K9" s="110">
        <f>SUM(H9:J9)</f>
        <v/>
      </c>
      <c r="L9" s="110">
        <f>K9*(1+M9)</f>
        <v/>
      </c>
      <c r="M9" s="100">
        <f>IFERROR(AVERAGEIFS(МП!$EP:$EP,МП!$ES:$ES,$A9),0)</f>
        <v/>
      </c>
      <c r="N9" s="110">
        <f>SUMIFS(МП!$EE:$EE,МП!$ES:$ES,$A9,МП!$CV:$CV,"подтверждено")</f>
        <v/>
      </c>
      <c r="O9" s="110">
        <f>SUMIFS(МП!$EI:$EI,МП!$ES:$ES,$A9,МП!$CV:$CV,"подтверждено")</f>
        <v/>
      </c>
      <c r="P9" s="110">
        <f>SUMIFS(МП!$EL:$EL,МП!$ES:$ES,$A9,МП!$CV:$CV,"подтверждено")</f>
        <v/>
      </c>
      <c r="Q9" s="110">
        <f>SUM(N9:P9)</f>
        <v/>
      </c>
      <c r="R9" s="110">
        <f>Q9*(1+M9)</f>
        <v/>
      </c>
    </row>
    <row r="10">
      <c r="A10" s="98" t="n"/>
      <c r="B10" s="110">
        <f>SUMIFS(МП!$CC:$CC,МП!$ES:$ES,$A10)</f>
        <v/>
      </c>
      <c r="C10" s="110">
        <f>SUMIFS(МП!$CE:$CE,МП!$ES:$ES,$A10)</f>
        <v/>
      </c>
      <c r="D10" s="110">
        <f>SUMIFS(МП!$CG:$CG,МП!$ES:$ES,$A10)</f>
        <v/>
      </c>
      <c r="E10" s="110">
        <f>SUM(B10:D10)</f>
        <v/>
      </c>
      <c r="F10" s="110">
        <f>E10*(1+G10)</f>
        <v/>
      </c>
      <c r="G10" s="100">
        <f>IFERROR(AVERAGEIFS(МП!$CM:$CM,МП!$ES:$ES,$A10),0)</f>
        <v/>
      </c>
      <c r="H10" s="110">
        <f>SUMIFS(МП!$EE:$EE,МП!$ES:$ES,$A10)</f>
        <v/>
      </c>
      <c r="I10" s="110">
        <f>SUMIFS(МП!$EI:$EI,МП!$ES:$ES,$A10)</f>
        <v/>
      </c>
      <c r="J10" s="110">
        <f>SUMIFS(МП!$EL:$EL,МП!$ES:$ES,$A10)</f>
        <v/>
      </c>
      <c r="K10" s="110">
        <f>SUM(H10:J10)</f>
        <v/>
      </c>
      <c r="L10" s="110">
        <f>K10*(1+M10)</f>
        <v/>
      </c>
      <c r="M10" s="100">
        <f>IFERROR(AVERAGEIFS(МП!$EP:$EP,МП!$ES:$ES,$A10),0)</f>
        <v/>
      </c>
      <c r="N10" s="110">
        <f>SUMIFS(МП!$EE:$EE,МП!$ES:$ES,$A10,МП!$CV:$CV,"подтверждено")</f>
        <v/>
      </c>
      <c r="O10" s="110">
        <f>SUMIFS(МП!$EI:$EI,МП!$ES:$ES,$A10,МП!$CV:$CV,"подтверждено")</f>
        <v/>
      </c>
      <c r="P10" s="110">
        <f>SUMIFS(МП!$EL:$EL,МП!$ES:$ES,$A10,МП!$CV:$CV,"подтверждено")</f>
        <v/>
      </c>
      <c r="Q10" s="110">
        <f>SUM(N10:P10)</f>
        <v/>
      </c>
      <c r="R10" s="110">
        <f>Q10*(1+M10)</f>
        <v/>
      </c>
    </row>
    <row r="11">
      <c r="A11" s="98" t="n"/>
      <c r="B11" s="110">
        <f>SUMIFS(МП!$CC:$CC,МП!$ES:$ES,$A11)</f>
        <v/>
      </c>
      <c r="C11" s="110">
        <f>SUMIFS(МП!$CE:$CE,МП!$ES:$ES,$A11)</f>
        <v/>
      </c>
      <c r="D11" s="110">
        <f>SUMIFS(МП!$CG:$CG,МП!$ES:$ES,$A11)</f>
        <v/>
      </c>
      <c r="E11" s="110">
        <f>SUM(B11:D11)</f>
        <v/>
      </c>
      <c r="F11" s="110">
        <f>E11*(1+G11)</f>
        <v/>
      </c>
      <c r="G11" s="100">
        <f>IFERROR(AVERAGEIFS(МП!$CM:$CM,МП!$ES:$ES,$A11),0)</f>
        <v/>
      </c>
      <c r="H11" s="110">
        <f>SUMIFS(МП!$EE:$EE,МП!$ES:$ES,$A11)</f>
        <v/>
      </c>
      <c r="I11" s="110">
        <f>SUMIFS(МП!$EI:$EI,МП!$ES:$ES,$A11)</f>
        <v/>
      </c>
      <c r="J11" s="110">
        <f>SUMIFS(МП!$EL:$EL,МП!$ES:$ES,$A11)</f>
        <v/>
      </c>
      <c r="K11" s="110">
        <f>SUM(H11:J11)</f>
        <v/>
      </c>
      <c r="L11" s="110">
        <f>K11*(1+M11)</f>
        <v/>
      </c>
      <c r="M11" s="100">
        <f>IFERROR(AVERAGEIFS(МП!$EP:$EP,МП!$ES:$ES,$A11),0)</f>
        <v/>
      </c>
      <c r="N11" s="110">
        <f>SUMIFS(МП!$EE:$EE,МП!$ES:$ES,$A11,МП!$CV:$CV,"подтверждено")</f>
        <v/>
      </c>
      <c r="O11" s="110">
        <f>SUMIFS(МП!$EI:$EI,МП!$ES:$ES,$A11,МП!$CV:$CV,"подтверждено")</f>
        <v/>
      </c>
      <c r="P11" s="110">
        <f>SUMIFS(МП!$EL:$EL,МП!$ES:$ES,$A11,МП!$CV:$CV,"подтверждено")</f>
        <v/>
      </c>
      <c r="Q11" s="110">
        <f>SUM(N11:P11)</f>
        <v/>
      </c>
      <c r="R11" s="110">
        <f>Q11*(1+M11)</f>
        <v/>
      </c>
    </row>
    <row r="12">
      <c r="A12" s="98" t="n"/>
      <c r="B12" s="110">
        <f>SUMIFS(МП!$CC:$CC,МП!$ES:$ES,$A12)</f>
        <v/>
      </c>
      <c r="C12" s="110">
        <f>SUMIFS(МП!$CE:$CE,МП!$ES:$ES,$A12)</f>
        <v/>
      </c>
      <c r="D12" s="110">
        <f>SUMIFS(МП!$CG:$CG,МП!$ES:$ES,$A12)</f>
        <v/>
      </c>
      <c r="E12" s="110">
        <f>SUM(B12:D12)</f>
        <v/>
      </c>
      <c r="F12" s="110">
        <f>E12*(1+G12)</f>
        <v/>
      </c>
      <c r="G12" s="100">
        <f>IFERROR(AVERAGEIFS(МП!$CM:$CM,МП!$ES:$ES,$A12),0)</f>
        <v/>
      </c>
      <c r="H12" s="110">
        <f>SUMIFS(МП!$EE:$EE,МП!$ES:$ES,$A12)</f>
        <v/>
      </c>
      <c r="I12" s="110">
        <f>SUMIFS(МП!$EI:$EI,МП!$ES:$ES,$A12)</f>
        <v/>
      </c>
      <c r="J12" s="110">
        <f>SUMIFS(МП!$EL:$EL,МП!$ES:$ES,$A12)</f>
        <v/>
      </c>
      <c r="K12" s="110">
        <f>SUM(H12:J12)</f>
        <v/>
      </c>
      <c r="L12" s="110">
        <f>K12*(1+M12)</f>
        <v/>
      </c>
      <c r="M12" s="100">
        <f>IFERROR(AVERAGEIFS(МП!$EP:$EP,МП!$ES:$ES,$A12),0)</f>
        <v/>
      </c>
      <c r="N12" s="110">
        <f>SUMIFS(МП!$EE:$EE,МП!$ES:$ES,$A12,МП!$CV:$CV,"подтверждено")</f>
        <v/>
      </c>
      <c r="O12" s="110">
        <f>SUMIFS(МП!$EI:$EI,МП!$ES:$ES,$A12,МП!$CV:$CV,"подтверждено")</f>
        <v/>
      </c>
      <c r="P12" s="110">
        <f>SUMIFS(МП!$EL:$EL,МП!$ES:$ES,$A12,МП!$CV:$CV,"подтверждено")</f>
        <v/>
      </c>
      <c r="Q12" s="110">
        <f>SUM(N12:P12)</f>
        <v/>
      </c>
      <c r="R12" s="110">
        <f>Q12*(1+M12)</f>
        <v/>
      </c>
    </row>
    <row r="13">
      <c r="A13" s="98" t="n"/>
      <c r="B13" s="110">
        <f>SUMIFS(МП!$CC:$CC,МП!$ES:$ES,$A13)</f>
        <v/>
      </c>
      <c r="C13" s="110">
        <f>SUMIFS(МП!$CE:$CE,МП!$ES:$ES,$A13)</f>
        <v/>
      </c>
      <c r="D13" s="110">
        <f>SUMIFS(МП!$CG:$CG,МП!$ES:$ES,$A13)</f>
        <v/>
      </c>
      <c r="E13" s="110">
        <f>SUM(B13:D13)</f>
        <v/>
      </c>
      <c r="F13" s="110">
        <f>E13*(1+G13)</f>
        <v/>
      </c>
      <c r="G13" s="100">
        <f>IFERROR(AVERAGEIFS(МП!$CM:$CM,МП!$ES:$ES,$A13),0)</f>
        <v/>
      </c>
      <c r="H13" s="110">
        <f>SUMIFS(МП!$EE:$EE,МП!$ES:$ES,$A13)</f>
        <v/>
      </c>
      <c r="I13" s="110">
        <f>SUMIFS(МП!$EI:$EI,МП!$ES:$ES,$A13)</f>
        <v/>
      </c>
      <c r="J13" s="110">
        <f>SUMIFS(МП!$EL:$EL,МП!$ES:$ES,$A13)</f>
        <v/>
      </c>
      <c r="K13" s="110">
        <f>SUM(H13:J13)</f>
        <v/>
      </c>
      <c r="L13" s="110">
        <f>K13*(1+M13)</f>
        <v/>
      </c>
      <c r="M13" s="100">
        <f>IFERROR(AVERAGEIFS(МП!$EP:$EP,МП!$ES:$ES,$A13),0)</f>
        <v/>
      </c>
      <c r="N13" s="110">
        <f>SUMIFS(МП!$EE:$EE,МП!$ES:$ES,$A13,МП!$CV:$CV,"подтверждено")</f>
        <v/>
      </c>
      <c r="O13" s="110">
        <f>SUMIFS(МП!$EI:$EI,МП!$ES:$ES,$A13,МП!$CV:$CV,"подтверждено")</f>
        <v/>
      </c>
      <c r="P13" s="110">
        <f>SUMIFS(МП!$EL:$EL,МП!$ES:$ES,$A13,МП!$CV:$CV,"подтверждено")</f>
        <v/>
      </c>
      <c r="Q13" s="110">
        <f>SUM(N13:P13)</f>
        <v/>
      </c>
      <c r="R13" s="110">
        <f>Q13*(1+M13)</f>
        <v/>
      </c>
    </row>
    <row r="14">
      <c r="A14" s="98" t="n"/>
      <c r="B14" s="110">
        <f>SUMIFS(МП!$CC:$CC,МП!$ES:$ES,$A14)</f>
        <v/>
      </c>
      <c r="C14" s="110">
        <f>SUMIFS(МП!$CE:$CE,МП!$ES:$ES,$A14)</f>
        <v/>
      </c>
      <c r="D14" s="110">
        <f>SUMIFS(МП!$CG:$CG,МП!$ES:$ES,$A14)</f>
        <v/>
      </c>
      <c r="E14" s="110">
        <f>SUM(B14:D14)</f>
        <v/>
      </c>
      <c r="F14" s="110">
        <f>E14*(1+G14)</f>
        <v/>
      </c>
      <c r="G14" s="100">
        <f>IFERROR(AVERAGEIFS(МП!$CM:$CM,МП!$ES:$ES,$A14),0)</f>
        <v/>
      </c>
      <c r="H14" s="110">
        <f>SUMIFS(МП!$EE:$EE,МП!$ES:$ES,$A14)</f>
        <v/>
      </c>
      <c r="I14" s="110">
        <f>SUMIFS(МП!$EI:$EI,МП!$ES:$ES,$A14)</f>
        <v/>
      </c>
      <c r="J14" s="110">
        <f>SUMIFS(МП!$EL:$EL,МП!$ES:$ES,$A14)</f>
        <v/>
      </c>
      <c r="K14" s="110">
        <f>SUM(H14:J14)</f>
        <v/>
      </c>
      <c r="L14" s="110">
        <f>K14*(1+M14)</f>
        <v/>
      </c>
      <c r="M14" s="100">
        <f>IFERROR(AVERAGEIFS(МП!$EP:$EP,МП!$ES:$ES,$A14),0)</f>
        <v/>
      </c>
      <c r="N14" s="110">
        <f>SUMIFS(МП!$EE:$EE,МП!$ES:$ES,$A14,МП!$CV:$CV,"подтверждено")</f>
        <v/>
      </c>
      <c r="O14" s="110">
        <f>SUMIFS(МП!$EI:$EI,МП!$ES:$ES,$A14,МП!$CV:$CV,"подтверждено")</f>
        <v/>
      </c>
      <c r="P14" s="110">
        <f>SUMIFS(МП!$EL:$EL,МП!$ES:$ES,$A14,МП!$CV:$CV,"подтверждено")</f>
        <v/>
      </c>
      <c r="Q14" s="110">
        <f>SUM(N14:P14)</f>
        <v/>
      </c>
      <c r="R14" s="110">
        <f>Q14*(1+M14)</f>
        <v/>
      </c>
    </row>
    <row r="15">
      <c r="A15" s="98" t="n"/>
      <c r="B15" s="110">
        <f>SUMIFS(МП!$CC:$CC,МП!$ES:$ES,$A15)</f>
        <v/>
      </c>
      <c r="C15" s="110">
        <f>SUMIFS(МП!$CE:$CE,МП!$ES:$ES,$A15)</f>
        <v/>
      </c>
      <c r="D15" s="110">
        <f>SUMIFS(МП!$CG:$CG,МП!$ES:$ES,$A15)</f>
        <v/>
      </c>
      <c r="E15" s="110">
        <f>SUM(B15:D15)</f>
        <v/>
      </c>
      <c r="F15" s="110">
        <f>E15*(1+G15)</f>
        <v/>
      </c>
      <c r="G15" s="100">
        <f>IFERROR(AVERAGEIFS(МП!$CM:$CM,МП!$ES:$ES,$A15),0)</f>
        <v/>
      </c>
      <c r="H15" s="110">
        <f>SUMIFS(МП!$EE:$EE,МП!$ES:$ES,$A15)</f>
        <v/>
      </c>
      <c r="I15" s="110">
        <f>SUMIFS(МП!$EI:$EI,МП!$ES:$ES,$A15)</f>
        <v/>
      </c>
      <c r="J15" s="110">
        <f>SUMIFS(МП!$EL:$EL,МП!$ES:$ES,$A15)</f>
        <v/>
      </c>
      <c r="K15" s="110">
        <f>SUM(H15:J15)</f>
        <v/>
      </c>
      <c r="L15" s="110">
        <f>K15*(1+M15)</f>
        <v/>
      </c>
      <c r="M15" s="100">
        <f>IFERROR(AVERAGEIFS(МП!$EP:$EP,МП!$ES:$ES,$A15),0)</f>
        <v/>
      </c>
      <c r="N15" s="110">
        <f>SUMIFS(МП!$EE:$EE,МП!$ES:$ES,$A15,МП!$CV:$CV,"подтверждено")</f>
        <v/>
      </c>
      <c r="O15" s="110">
        <f>SUMIFS(МП!$EI:$EI,МП!$ES:$ES,$A15,МП!$CV:$CV,"подтверждено")</f>
        <v/>
      </c>
      <c r="P15" s="110">
        <f>SUMIFS(МП!$EL:$EL,МП!$ES:$ES,$A15,МП!$CV:$CV,"подтверждено")</f>
        <v/>
      </c>
      <c r="Q15" s="110">
        <f>SUM(N15:P15)</f>
        <v/>
      </c>
      <c r="R15" s="110">
        <f>Q15*(1+M15)</f>
        <v/>
      </c>
    </row>
    <row r="16">
      <c r="A16" s="98" t="n"/>
      <c r="B16" s="110">
        <f>SUMIFS(МП!$CC:$CC,МП!$ES:$ES,$A16)</f>
        <v/>
      </c>
      <c r="C16" s="110">
        <f>SUMIFS(МП!$CE:$CE,МП!$ES:$ES,$A16)</f>
        <v/>
      </c>
      <c r="D16" s="110">
        <f>SUMIFS(МП!$CG:$CG,МП!$ES:$ES,$A16)</f>
        <v/>
      </c>
      <c r="E16" s="110">
        <f>SUM(B16:D16)</f>
        <v/>
      </c>
      <c r="F16" s="110">
        <f>E16*(1+G16)</f>
        <v/>
      </c>
      <c r="G16" s="100">
        <f>IFERROR(AVERAGEIFS(МП!$CM:$CM,МП!$ES:$ES,$A16),0)</f>
        <v/>
      </c>
      <c r="H16" s="110">
        <f>SUMIFS(МП!$EE:$EE,МП!$ES:$ES,$A16)</f>
        <v/>
      </c>
      <c r="I16" s="110">
        <f>SUMIFS(МП!$EI:$EI,МП!$ES:$ES,$A16)</f>
        <v/>
      </c>
      <c r="J16" s="110">
        <f>SUMIFS(МП!$EL:$EL,МП!$ES:$ES,$A16)</f>
        <v/>
      </c>
      <c r="K16" s="110">
        <f>SUM(H16:J16)</f>
        <v/>
      </c>
      <c r="L16" s="110">
        <f>K16*(1+M16)</f>
        <v/>
      </c>
      <c r="M16" s="100">
        <f>IFERROR(AVERAGEIFS(МП!$EP:$EP,МП!$ES:$ES,$A16),0)</f>
        <v/>
      </c>
      <c r="N16" s="110">
        <f>SUMIFS(МП!$EE:$EE,МП!$ES:$ES,$A16,МП!$CV:$CV,"подтверждено")</f>
        <v/>
      </c>
      <c r="O16" s="110">
        <f>SUMIFS(МП!$EI:$EI,МП!$ES:$ES,$A16,МП!$CV:$CV,"подтверждено")</f>
        <v/>
      </c>
      <c r="P16" s="110">
        <f>SUMIFS(МП!$EL:$EL,МП!$ES:$ES,$A16,МП!$CV:$CV,"подтверждено")</f>
        <v/>
      </c>
      <c r="Q16" s="110">
        <f>SUM(N16:P16)</f>
        <v/>
      </c>
      <c r="R16" s="110">
        <f>Q16*(1+M16)</f>
        <v/>
      </c>
    </row>
    <row r="17">
      <c r="A17" s="98" t="n"/>
      <c r="B17" s="110">
        <f>SUMIFS(МП!$CC:$CC,МП!$ES:$ES,$A17)</f>
        <v/>
      </c>
      <c r="C17" s="110">
        <f>SUMIFS(МП!$CE:$CE,МП!$ES:$ES,$A17)</f>
        <v/>
      </c>
      <c r="D17" s="110">
        <f>SUMIFS(МП!$CG:$CG,МП!$ES:$ES,$A17)</f>
        <v/>
      </c>
      <c r="E17" s="110">
        <f>SUM(B17:D17)</f>
        <v/>
      </c>
      <c r="F17" s="110">
        <f>E17*(1+G17)</f>
        <v/>
      </c>
      <c r="G17" s="100">
        <f>IFERROR(AVERAGEIFS(МП!$CM:$CM,МП!$ES:$ES,$A17),0)</f>
        <v/>
      </c>
      <c r="H17" s="110">
        <f>SUMIFS(МП!$EE:$EE,МП!$ES:$ES,$A17)</f>
        <v/>
      </c>
      <c r="I17" s="110">
        <f>SUMIFS(МП!$EI:$EI,МП!$ES:$ES,$A17)</f>
        <v/>
      </c>
      <c r="J17" s="110">
        <f>SUMIFS(МП!$EL:$EL,МП!$ES:$ES,$A17)</f>
        <v/>
      </c>
      <c r="K17" s="110">
        <f>SUM(H17:J17)</f>
        <v/>
      </c>
      <c r="L17" s="110">
        <f>K17*(1+M17)</f>
        <v/>
      </c>
      <c r="M17" s="100">
        <f>IFERROR(AVERAGEIFS(МП!$EP:$EP,МП!$ES:$ES,$A17),0)</f>
        <v/>
      </c>
      <c r="N17" s="110">
        <f>SUMIFS(МП!$EE:$EE,МП!$ES:$ES,$A17,МП!$CV:$CV,"подтверждено")</f>
        <v/>
      </c>
      <c r="O17" s="110">
        <f>SUMIFS(МП!$EI:$EI,МП!$ES:$ES,$A17,МП!$CV:$CV,"подтверждено")</f>
        <v/>
      </c>
      <c r="P17" s="110">
        <f>SUMIFS(МП!$EL:$EL,МП!$ES:$ES,$A17,МП!$CV:$CV,"подтверждено")</f>
        <v/>
      </c>
      <c r="Q17" s="110">
        <f>SUM(N17:P17)</f>
        <v/>
      </c>
      <c r="R17" s="110">
        <f>Q17*(1+M17)</f>
        <v/>
      </c>
    </row>
    <row r="18">
      <c r="A18" s="98" t="n"/>
      <c r="B18" s="110">
        <f>SUMIFS(МП!$CC:$CC,МП!$ES:$ES,$A18)</f>
        <v/>
      </c>
      <c r="C18" s="110">
        <f>SUMIFS(МП!$CE:$CE,МП!$ES:$ES,$A18)</f>
        <v/>
      </c>
      <c r="D18" s="110">
        <f>SUMIFS(МП!$CG:$CG,МП!$ES:$ES,$A18)</f>
        <v/>
      </c>
      <c r="E18" s="110">
        <f>SUM(B18:D18)</f>
        <v/>
      </c>
      <c r="F18" s="110">
        <f>E18*(1+G18)</f>
        <v/>
      </c>
      <c r="G18" s="100">
        <f>IFERROR(AVERAGEIFS(МП!$CM:$CM,МП!$ES:$ES,$A18),0)</f>
        <v/>
      </c>
      <c r="H18" s="110">
        <f>SUMIFS(МП!$EE:$EE,МП!$ES:$ES,$A18)</f>
        <v/>
      </c>
      <c r="I18" s="110">
        <f>SUMIFS(МП!$EI:$EI,МП!$ES:$ES,$A18)</f>
        <v/>
      </c>
      <c r="J18" s="110">
        <f>SUMIFS(МП!$EL:$EL,МП!$ES:$ES,$A18)</f>
        <v/>
      </c>
      <c r="K18" s="110">
        <f>SUM(H18:J18)</f>
        <v/>
      </c>
      <c r="L18" s="110">
        <f>K18*(1+M18)</f>
        <v/>
      </c>
      <c r="M18" s="100">
        <f>IFERROR(AVERAGEIFS(МП!$EP:$EP,МП!$ES:$ES,$A18),0)</f>
        <v/>
      </c>
      <c r="N18" s="110">
        <f>SUMIFS(МП!$EE:$EE,МП!$ES:$ES,$A18,МП!$CV:$CV,"подтверждено")</f>
        <v/>
      </c>
      <c r="O18" s="110">
        <f>SUMIFS(МП!$EI:$EI,МП!$ES:$ES,$A18,МП!$CV:$CV,"подтверждено")</f>
        <v/>
      </c>
      <c r="P18" s="110">
        <f>SUMIFS(МП!$EL:$EL,МП!$ES:$ES,$A18,МП!$CV:$CV,"подтверждено")</f>
        <v/>
      </c>
      <c r="Q18" s="110">
        <f>SUM(N18:P18)</f>
        <v/>
      </c>
      <c r="R18" s="110">
        <f>Q18*(1+M18)</f>
        <v/>
      </c>
    </row>
  </sheetData>
  <conditionalFormatting sqref="H4:P18">
    <cfRule type="expression" priority="9" dxfId="1">
      <formula>AND(ROW(H4)=CELL("строка"),#REF!="вкл")</formula>
    </cfRule>
    <cfRule type="containsBlanks" priority="10" dxfId="0">
      <formula>LEN(TRIM(H4))=0</formula>
    </cfRule>
  </conditionalFormatting>
  <conditionalFormatting sqref="Q4:Q18">
    <cfRule type="expression" priority="7" dxfId="1">
      <formula>AND(ROW(Q4)=CELL("строка"),#REF!="вкл")</formula>
    </cfRule>
    <cfRule type="containsBlanks" priority="8" dxfId="0">
      <formula>LEN(TRIM(Q4))=0</formula>
    </cfRule>
  </conditionalFormatting>
  <conditionalFormatting sqref="G4:G18">
    <cfRule type="expression" priority="5" dxfId="1">
      <formula>AND(ROW(G4)=CELL("строка"),#REF!="вкл")</formula>
    </cfRule>
    <cfRule type="containsBlanks" priority="6" dxfId="0">
      <formula>LEN(TRIM(G4))=0</formula>
    </cfRule>
  </conditionalFormatting>
  <conditionalFormatting sqref="R4:R18">
    <cfRule type="expression" priority="3" dxfId="1">
      <formula>AND(ROW(R4)=CELL("строка"),#REF!="вкл")</formula>
    </cfRule>
    <cfRule type="containsBlanks" priority="4" dxfId="0">
      <formula>LEN(TRIM(R4))=0</formula>
    </cfRule>
  </conditionalFormatting>
  <conditionalFormatting sqref="B4:F18">
    <cfRule type="expression" priority="1" dxfId="1">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P27"/>
  <sheetViews>
    <sheetView showGridLines="0" tabSelected="1" zoomScale="70" zoomScaleNormal="70" workbookViewId="0">
      <selection activeCell="F35" sqref="F35"/>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hidden="1" outlineLevel="2" width="15.7109375" customWidth="1" style="23" min="8" max="9"/>
    <col outlineLevel="1" collapsed="1" width="15.7109375" customWidth="1" style="23" min="10" max="10"/>
    <col outlineLevel="1" width="15.7109375" customWidth="1" style="23" min="11" max="12"/>
    <col outlineLevel="1" width="15.7109375" customWidth="1" style="28" min="13" max="13"/>
    <col hidden="1" outlineLevel="2" width="15.7109375" customWidth="1" style="28" min="14" max="15"/>
    <col hidden="1" outlineLevel="2" collapsed="1" width="12.7109375" customWidth="1" style="23" min="16" max="16"/>
    <col outlineLevel="1" collapsed="1" width="12.7109375" customWidth="1" style="28" min="17" max="17"/>
    <col outlineLevel="1" width="12.7109375" customWidth="1" style="28" min="18" max="18"/>
    <col hidden="1" outlineLevel="2" width="13.7109375" customWidth="1" style="23" min="19" max="19"/>
    <col hidden="1" outlineLevel="2" width="13.7109375" customWidth="1" style="28" min="20" max="20"/>
    <col outlineLevel="1" collapsed="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hidden="1" outlineLevel="2" width="8.7109375" customWidth="1" style="23" min="36" max="37"/>
    <col hidden="1" outlineLevel="2" width="8.7109375" customWidth="1" style="30" min="38" max="39"/>
    <col hidden="1" outlineLevel="2" width="8.7109375" customWidth="1" style="23" min="40" max="41"/>
    <col hidden="1" outlineLevel="2" width="8.7109375" customWidth="1" style="30" min="42" max="42"/>
    <col hidden="1" outlineLevel="2" width="12.7109375" customWidth="1" style="31" min="43" max="43"/>
    <col hidden="1" outlineLevel="2" width="12.7109375" customWidth="1" style="29" min="44" max="44"/>
    <col hidden="1" outlineLevel="2" width="12.7109375" customWidth="1" style="30" min="45" max="46"/>
    <col hidden="1" outlineLevel="2" width="12.7109375" customWidth="1" style="32" min="47" max="47"/>
    <col hidden="1"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1"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hidden="1" outlineLevel="2" width="15.7109375" customWidth="1" style="35" min="101" max="101"/>
    <col hidden="1" outlineLevel="2" width="15.7109375" customWidth="1" style="36" min="102" max="102"/>
    <col outlineLevel="1" collapsed="1" width="15.5703125" customWidth="1" min="103" max="103"/>
    <col outlineLevel="1" width="15.5703125" customWidth="1" min="104"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1" min="114" max="114"/>
    <col outlineLevel="2" width="10.5703125" customWidth="1" style="111"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hidden="1" outlineLevel="2" width="10.7109375" customWidth="1" style="23" min="137" max="137"/>
    <col hidden="1" outlineLevel="2" width="25.7109375" customWidth="1" style="34" min="138" max="143"/>
    <col outlineLevel="1" collapsed="1" width="25.7109375" customWidth="1" style="34" min="144" max="144"/>
    <col outlineLevel="1" width="25.7109375" customWidth="1" style="34" min="145" max="145"/>
    <col outlineLevel="1" width="12.7109375" customWidth="1" style="35" min="146" max="146"/>
    <col outlineLevel="1" width="15.5703125" customWidth="1" style="35" min="147" max="147"/>
    <col outlineLevel="1" width="15.7109375" customWidth="1" style="28" min="148" max="152"/>
    <col width="25.85546875" customWidth="1" style="23" min="154" max="154"/>
    <col width="15.7109375" customWidth="1" style="23" min="155" max="155"/>
    <col width="18.5703125" customWidth="1" style="23" min="156" max="162"/>
    <col width="8.7109375" customWidth="1" style="23" min="163" max="16384"/>
  </cols>
  <sheetData>
    <row r="1">
      <c r="M1" s="23" t="n"/>
      <c r="DJ1" s="112">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c r="FL1" s="78" t="n"/>
      <c r="FM1" s="78" t="n"/>
      <c r="FN1" s="78" t="n"/>
      <c r="FO1" s="78" t="n"/>
      <c r="FP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c r="FL2" s="78" t="n"/>
      <c r="FM2" s="78" t="n"/>
      <c r="FN2" s="78" t="n"/>
      <c r="FO2" s="78" t="n"/>
      <c r="FP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1" t="n"/>
      <c r="DR3" s="111" t="n"/>
      <c r="EX3" s="78" t="n"/>
      <c r="EY3" s="78" t="n"/>
      <c r="EZ3" s="78" t="n"/>
      <c r="FA3" s="78" t="n"/>
      <c r="FB3" s="78" t="n"/>
      <c r="FC3" s="78" t="n"/>
      <c r="FD3" s="78" t="n"/>
      <c r="FE3" s="78" t="n"/>
      <c r="FF3" s="78" t="n"/>
      <c r="FG3" s="78" t="n"/>
      <c r="FH3" s="78" t="n"/>
      <c r="FI3" s="78" t="n"/>
      <c r="FJ3" s="78" t="n"/>
      <c r="FK3" s="78" t="n"/>
      <c r="FL3" s="78" t="n"/>
      <c r="FM3" s="78" t="n"/>
      <c r="FN3" s="78" t="n"/>
      <c r="FO3" s="78" t="n"/>
      <c r="FP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c r="FL4" s="78" t="n"/>
      <c r="FM4" s="78" t="n"/>
      <c r="FN4" s="78" t="n"/>
      <c r="FO4" s="78" t="n"/>
      <c r="FP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c r="FL5" s="78" t="n"/>
      <c r="FM5" s="78" t="n"/>
      <c r="FN5" s="78" t="n"/>
      <c r="FO5" s="78" t="n"/>
      <c r="FP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c r="FL6" s="78" t="n"/>
      <c r="FM6" s="78" t="n"/>
      <c r="FN6" s="78" t="n"/>
      <c r="FO6" s="78" t="n"/>
      <c r="FP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3"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c r="FL7" s="78" t="n"/>
      <c r="FM7" s="78" t="n"/>
      <c r="FN7" s="78" t="n"/>
      <c r="FO7" s="78" t="n"/>
      <c r="FP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3" t="n"/>
      <c r="DG8" s="113" t="n"/>
      <c r="DI8" s="111"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c r="FL8" s="78" t="n"/>
      <c r="FM8" s="78" t="n"/>
      <c r="FN8" s="78" t="n"/>
      <c r="FO8" s="78" t="n"/>
      <c r="FP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1" t="n"/>
      <c r="DS9" s="30" t="n"/>
      <c r="DT9" s="30" t="n"/>
      <c r="DU9" s="30" t="n"/>
      <c r="DV9" s="30" t="n"/>
      <c r="DW9" s="30" t="n"/>
      <c r="DX9" s="30" t="n"/>
      <c r="DY9" s="30" t="n"/>
      <c r="DZ9" s="30" t="n"/>
      <c r="EA9" s="30" t="n"/>
      <c r="EB9" s="30" t="n"/>
      <c r="EC9" s="30" t="n"/>
      <c r="ED9" s="30" t="n"/>
      <c r="EF9" s="111"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c r="FL9" s="78" t="n"/>
      <c r="FM9" s="78" t="n"/>
      <c r="FN9" s="78" t="n"/>
      <c r="FO9" s="78" t="n"/>
      <c r="FP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1"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c r="FL10" s="78" t="n"/>
      <c r="FM10" s="78" t="n"/>
      <c r="FN10" s="78" t="n"/>
      <c r="FO10" s="78" t="n"/>
      <c r="FP10" s="78" t="n"/>
    </row>
    <row r="11">
      <c r="B11" s="24" t="n"/>
      <c r="C11" s="24" t="n"/>
      <c r="D11" s="24" t="n"/>
      <c r="F11" s="114" t="n"/>
      <c r="G11" s="24" t="n"/>
      <c r="H11" s="24" t="n"/>
      <c r="I11" s="24" t="n"/>
      <c r="J11" s="24" t="n"/>
      <c r="K11" s="24" t="n"/>
      <c r="L11" s="115" t="n"/>
      <c r="N11" s="115" t="n"/>
      <c r="O11" s="39" t="n"/>
      <c r="P11" s="115" t="n"/>
      <c r="Q11" s="115" t="n"/>
      <c r="R11" s="115" t="n"/>
      <c r="S11" s="115" t="n"/>
      <c r="T11" s="116" t="n"/>
      <c r="U11" s="115" t="n"/>
      <c r="V11" s="115" t="n"/>
      <c r="W11" s="115" t="n"/>
      <c r="X11" s="115" t="n"/>
      <c r="Y11" s="115" t="n"/>
      <c r="AX11" s="23" t="inlineStr">
        <is>
          <t> </t>
        </is>
      </c>
      <c r="BQ11" s="111" t="n"/>
      <c r="CM11" s="23" t="n"/>
      <c r="CN11" s="23" t="n"/>
      <c r="DR11" s="111" t="n"/>
      <c r="DS11" s="111" t="n"/>
      <c r="DU11" s="111" t="n"/>
      <c r="DV11" s="111" t="n"/>
      <c r="DW11" s="111" t="n"/>
      <c r="DX11" s="111" t="n"/>
      <c r="DY11" s="111" t="n"/>
      <c r="EP11" s="23" t="n"/>
      <c r="EQ11" s="23" t="n"/>
      <c r="EX11" s="78" t="n"/>
      <c r="EY11" s="78" t="n"/>
      <c r="EZ11" s="78" t="n"/>
      <c r="FA11" s="78" t="n"/>
      <c r="FB11" s="78" t="n"/>
      <c r="FC11" s="78" t="n"/>
      <c r="FD11" s="78" t="n"/>
      <c r="FE11" s="78" t="n"/>
      <c r="FF11" s="78" t="n"/>
      <c r="FG11" s="78" t="n"/>
      <c r="FH11" s="78" t="n"/>
      <c r="FI11" s="78" t="n"/>
      <c r="FJ11" s="78" t="n"/>
      <c r="FK11" s="78" t="n"/>
      <c r="FL11" s="78" t="n"/>
      <c r="FM11" s="78" t="n"/>
      <c r="FN11" s="78" t="n"/>
      <c r="FO11" s="78" t="n"/>
      <c r="FP11" s="78" t="n"/>
    </row>
    <row r="12">
      <c r="B12" s="24" t="n"/>
      <c r="C12" s="24" t="n"/>
      <c r="D12" s="24" t="n"/>
      <c r="G12" s="24" t="n"/>
      <c r="H12" s="24" t="n"/>
      <c r="I12" s="24" t="n"/>
      <c r="J12" s="24" t="n"/>
      <c r="K12" s="24" t="n"/>
      <c r="O12" s="39" t="n"/>
      <c r="X12" s="23">
        <f>SUBTOTAL(9,AW:AW)+SUBTOTAL(9,AX:AX)</f>
        <v/>
      </c>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17" t="n"/>
      <c r="DK12" s="117"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c r="FL12" s="78" t="n"/>
      <c r="FM12" s="78" t="n"/>
      <c r="FN12" s="78" t="n"/>
      <c r="FO12" s="78" t="n"/>
      <c r="FP12" s="78" t="n"/>
    </row>
    <row r="13" ht="26.25" customHeight="1">
      <c r="B13" s="24" t="n"/>
      <c r="C13" s="24" t="n"/>
      <c r="D13" s="24" t="n"/>
      <c r="G13" s="24" t="n"/>
      <c r="H13" s="24" t="n"/>
      <c r="I13" s="24" t="n"/>
      <c r="J13" s="24" t="n"/>
      <c r="K13" s="24" t="n"/>
      <c r="AE13" s="23" t="inlineStr">
        <is>
          <t> </t>
        </is>
      </c>
      <c r="AP13" s="30" t="inlineStr">
        <is>
          <t> </t>
        </is>
      </c>
      <c r="BL13" s="49" t="n"/>
      <c r="BM13" s="47" t="n"/>
      <c r="BY13" s="118" t="n"/>
      <c r="BZ13" s="118" t="n"/>
      <c r="CM13" s="23" t="n"/>
      <c r="CN13" s="23" t="n"/>
      <c r="CU13" s="80" t="inlineStr">
        <is>
          <t>_ -&gt;|!!!УДАЛИТЬ ПЕРЕД ОТПРАВКОЙ ЗАКАЗЧИКУ</t>
        </is>
      </c>
      <c r="CV13" s="51" t="n"/>
      <c r="CW13" s="52" t="n"/>
      <c r="CX13" s="51" t="n"/>
      <c r="CY13" s="23" t="n"/>
      <c r="CZ13" s="23" t="n"/>
      <c r="DA13" s="23" t="n"/>
      <c r="DB13" s="23" t="n"/>
      <c r="DG13" s="112">
        <f>IF($DC13=0,0,$DD13*($DC13*100%-$DE13*$DF13))*$AB13</f>
        <v/>
      </c>
      <c r="DI13" s="119">
        <f t="array" ref="DI13">IFERROR(
IF($ES13="LisChannel",
(ROUND(((INDEX({174.625;153.888888888889;130.972222222222},MATCH($AI13,{2;3;4}),0))*$AG13*$AI13),2)),0),0)</f>
        <v/>
      </c>
      <c r="DJ13" s="119">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2">
        <f t="array" ref="DR13">
IF(DQ13&gt;0,
IFERROR(
_xlfn.IFS($BL13=0,
0,
$BL13&gt;0,
_xlfn.IFS(DK13="послед.",
$DJ13*(1-$DL13)*(1-$DM13)*(1-$DN13)*(1-$DO13)*(1-$DP13),
DK13="сумм",
$DJ13*(1-($DL13+$DM13+$DN13+$DO13+$DP13)))),
0),
$DJ13)</f>
        <v/>
      </c>
      <c r="DS13" s="112">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2">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2">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2">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2">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2">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2">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2">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2">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2">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2">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2">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1">
        <f>SUBTOTAL(9,BN16:BN1048576)</f>
        <v/>
      </c>
      <c r="BP14" s="111">
        <f>SUBTOTAL(9,BP16:BP1048576)</f>
        <v/>
      </c>
      <c r="BQ14" s="111">
        <f>SUBTOTAL(9,BQ16:BQ1048576)</f>
        <v/>
      </c>
      <c r="BR14" s="111">
        <f>SUBTOTAL(9,BR16:BR1048576)</f>
        <v/>
      </c>
      <c r="BS14" s="111">
        <f>SUBTOTAL(9,BS16:BS1048576)</f>
        <v/>
      </c>
      <c r="BT14" s="111">
        <f>SUBTOTAL(9,BT16:BT1048576)</f>
        <v/>
      </c>
      <c r="BU14" s="111">
        <f>SUBTOTAL(9,BU16:BU1048576)</f>
        <v/>
      </c>
      <c r="BV14" s="111">
        <f>SUBTOTAL(9,BV16:BV1048576)</f>
        <v/>
      </c>
      <c r="BW14" s="111">
        <f>SUBTOTAL(9,BW16:BW1048576)</f>
        <v/>
      </c>
      <c r="BX14" s="111">
        <f>SUBTOTAL(9,BX16:BX1048576)</f>
        <v/>
      </c>
      <c r="BY14" s="111">
        <f>SUBTOTAL(9,BY16:BY1048576)</f>
        <v/>
      </c>
      <c r="BZ14" s="111">
        <f>SUBTOTAL(9,BZ16:BZ1048576)</f>
        <v/>
      </c>
      <c r="CA14" s="111">
        <f>SUBTOTAL(9,CA16:CA1048576)</f>
        <v/>
      </c>
      <c r="CB14" s="111">
        <f>SUBTOTAL(9,CB16:CB1048576)</f>
        <v/>
      </c>
      <c r="CC14" s="111">
        <f>SUBTOTAL(9,CC16:CC1048576)</f>
        <v/>
      </c>
      <c r="CD14" s="111">
        <f>SUBTOTAL(9,CD16:CD1048576)</f>
        <v/>
      </c>
      <c r="CE14" s="111">
        <f>SUBTOTAL(9,CE16:CE1048576)</f>
        <v/>
      </c>
      <c r="CF14" s="111">
        <f>SUBTOTAL(9,CF16:CF1048576)</f>
        <v/>
      </c>
      <c r="CG14" s="111">
        <f>SUBTOTAL(9,CG16:CG1048576)</f>
        <v/>
      </c>
      <c r="CH14" s="111">
        <f>SUBTOTAL(9,CH16:CH1048576)</f>
        <v/>
      </c>
      <c r="CI14" s="111">
        <f>SUBTOTAL(9,CI16:CI1048576)</f>
        <v/>
      </c>
      <c r="CJ14" s="111" t="n"/>
      <c r="CK14" s="111">
        <f>SUBTOTAL(9,CK16:CK1048576)</f>
        <v/>
      </c>
      <c r="CL14" s="111">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1">
        <f>SUBTOTAL(9,DB16:DB1048576)</f>
        <v/>
      </c>
      <c r="DC14" s="118" t="n"/>
      <c r="DD14" s="111">
        <f>SUBTOTAL(9,DD16:DD1048576)</f>
        <v/>
      </c>
      <c r="DE14" s="111" t="n"/>
      <c r="DF14" s="111" t="n"/>
      <c r="DG14" s="111">
        <f>SUBTOTAL(9,DG16:DG1048576)</f>
        <v/>
      </c>
      <c r="DI14" s="111">
        <f>SUBTOTAL(9,DI16:DI1048576)</f>
        <v/>
      </c>
      <c r="DJ14" s="111">
        <f>SUBTOTAL(9,DJ16:DJ1048576)</f>
        <v/>
      </c>
      <c r="DR14" s="111">
        <f>SUBTOTAL(9,DR16:DR1048576)</f>
        <v/>
      </c>
      <c r="DS14" s="111">
        <f>SUBTOTAL(9,DS16:DS1048576)</f>
        <v/>
      </c>
      <c r="DT14" s="111">
        <f>SUBTOTAL(9,DT16:DT1048576)</f>
        <v/>
      </c>
      <c r="DU14" s="111">
        <f>SUBTOTAL(9,DU16:DU1048576)</f>
        <v/>
      </c>
      <c r="DV14" s="111">
        <f>SUBTOTAL(9,DV16:DV1048576)</f>
        <v/>
      </c>
      <c r="DW14" s="111">
        <f>SUBTOTAL(9,DW16:DW1048576)</f>
        <v/>
      </c>
      <c r="DX14" s="111">
        <f>SUBTOTAL(9,DX16:DX1048576)</f>
        <v/>
      </c>
      <c r="DY14" s="111">
        <f>SUBTOTAL(9,DY16:DY1048576)</f>
        <v/>
      </c>
      <c r="DZ14" s="111">
        <f>SUBTOTAL(9,DZ16:DZ1048576)</f>
        <v/>
      </c>
      <c r="EA14" s="111">
        <f>SUBTOTAL(9,EA16:EA1048576)</f>
        <v/>
      </c>
      <c r="EB14" s="111">
        <f>SUBTOTAL(9,EB16:EB1048576)</f>
        <v/>
      </c>
      <c r="EC14" s="111">
        <f>SUBTOTAL(9,EC16:EC1048576)</f>
        <v/>
      </c>
      <c r="ED14" s="111">
        <f>SUBTOTAL(9,ED16:ED1048576)</f>
        <v/>
      </c>
      <c r="EE14" s="111">
        <f>SUBTOTAL(9,EE16:EE1048576)</f>
        <v/>
      </c>
      <c r="EF14" s="111">
        <f>SUBTOTAL(9,EF16:EF1048576)</f>
        <v/>
      </c>
      <c r="EG14" s="118" t="n"/>
      <c r="EH14" s="111">
        <f>SUBTOTAL(9,EH16:EH1048576)</f>
        <v/>
      </c>
      <c r="EI14" s="111">
        <f>SUBTOTAL(9,EI16:EI1048576)</f>
        <v/>
      </c>
      <c r="EJ14" s="111">
        <f>SUBTOTAL(9,EJ16:EJ1048576)</f>
        <v/>
      </c>
      <c r="EK14" s="111">
        <f>SUBTOTAL(9,EK16:EK1048576)</f>
        <v/>
      </c>
      <c r="EL14" s="111">
        <f>SUBTOTAL(9,EL16:EL1048576)</f>
        <v/>
      </c>
      <c r="EM14" s="111">
        <f>SUBTOTAL(9,EM16:EM1048576)</f>
        <v/>
      </c>
      <c r="EN14" s="111">
        <f>SUBTOTAL(9,EN16:EN1048576)</f>
        <v/>
      </c>
      <c r="EO14" s="111">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 
маршрут</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row>
    <row r="16">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n"/>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n"/>
      <c r="U16" s="60" t="n"/>
      <c r="V16" s="60">
        <f>
IF(P16="Видео",
"цифровой постер/ролик",
IF(ISNUMBER(MATCH(Q16,{"короб световой","короб световой | лайтбокс","короб световой | кристалайт","лайтбокс","лайт бокс","кристалайт","LB","lightbox"},)),
"бэклит",
IF(P16="Брендирование/оклейка",
"перфарированная пленка/самоклейка",
IF(P16="Экспонирование",
"под запрос",
IF(P16="Подвес",
"баннер/ткань",
"")))))</f>
        <v/>
      </c>
      <c r="W16" s="59" t="n"/>
      <c r="X16" s="59" t="n"/>
      <c r="Y16" s="59" t="n"/>
      <c r="Z16" s="61" t="n"/>
      <c r="AA16" s="61" t="n"/>
      <c r="AB16" s="61">
        <f>IF(BL16&gt;0,Z16,0)</f>
        <v/>
      </c>
      <c r="AC16" s="59" t="n"/>
      <c r="AD16" s="59" t="n"/>
      <c r="AE16" s="59" t="n"/>
      <c r="AF16" s="59" t="n"/>
      <c r="AG16" s="59" t="n"/>
      <c r="AH16" s="59" t="n"/>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c r="AS16" s="61" t="n"/>
      <c r="AT16" s="61" t="n"/>
      <c r="AU16" s="65" t="n"/>
      <c r="AV16" s="120">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1">
        <f>$DJ16</f>
        <v/>
      </c>
      <c r="BO16" s="63">
        <f>$DQ16</f>
        <v/>
      </c>
      <c r="BP16" s="121">
        <f>
IFERROR(
IF($BL16=0,0,
$BN16*(1-$BO16)),
0)</f>
        <v/>
      </c>
      <c r="BQ16" s="121">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1">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1">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1">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1">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1">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1">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1">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1">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1">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1">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1">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1">
        <f>SUM($BQ16:$CB16)</f>
        <v/>
      </c>
      <c r="CD16" s="122">
        <f>SUM($EH16:$EH16)</f>
        <v/>
      </c>
      <c r="CE16" s="122">
        <f>$CD16*$AB16</f>
        <v/>
      </c>
      <c r="CF16" s="122">
        <f>SUM($EK16:$EK16)</f>
        <v/>
      </c>
      <c r="CG16" s="122">
        <f>$CF16*$AB16</f>
        <v/>
      </c>
      <c r="CH16" s="122">
        <f>SUM($CC16,$CE16,$CG16)</f>
        <v/>
      </c>
      <c r="CI16" s="122">
        <f>$CH16*(1+$CM16)</f>
        <v/>
      </c>
      <c r="CJ16" s="123" t="n">
        <v>0</v>
      </c>
      <c r="CK16" s="122">
        <f>SUM($CH16:$CH16)*(1+$CJ16)</f>
        <v/>
      </c>
      <c r="CL16" s="122">
        <f>SUM($CH16:$CH16)*(1+$CM16)</f>
        <v/>
      </c>
      <c r="CM16" s="108" t="n"/>
      <c r="CN16" s="59" t="n"/>
      <c r="CO16" s="72" t="n"/>
      <c r="CP16" s="59" t="n"/>
      <c r="CQ16" s="73" t="n"/>
      <c r="CR16" s="73" t="n"/>
      <c r="CS16" s="73" t="n"/>
      <c r="CT16" s="72" t="n"/>
      <c r="CU16" s="79" t="inlineStr">
        <is>
          <t> </t>
        </is>
      </c>
      <c r="CV16" s="60" t="n"/>
      <c r="CW16" s="103" t="n"/>
      <c r="CX16" s="60" t="n"/>
      <c r="CY16" s="123">
        <f>IFERROR(($CC16-$EE16)/($EE16/(1-$DQ16)),0)</f>
        <v/>
      </c>
      <c r="CZ16" s="123">
        <f>IFERROR(1-$EI16/($CE16),0)</f>
        <v/>
      </c>
      <c r="DA16" s="123">
        <f>IFERROR(1-$EL16/($CG16),0)</f>
        <v/>
      </c>
      <c r="DB16" s="122">
        <f>ROUND(IFERROR(($CI16/(1+$CM16)-$EN16),0),2)</f>
        <v/>
      </c>
      <c r="DC16" s="124" t="n"/>
      <c r="DD16" s="121" t="n"/>
      <c r="DE16" s="75" t="n">
        <v>0</v>
      </c>
      <c r="DF16" s="124" t="n"/>
      <c r="DG16" s="121">
        <f>IF($DC16=0,0,$DD16*($DC16*100%-$DE16*$DF16))*SUM($AB16:$AB16)</f>
        <v/>
      </c>
      <c r="DH16" s="125" t="inlineStr">
        <is>
          <t>месяц</t>
        </is>
      </c>
      <c r="DI16" s="126">
        <f t="array" ref="DI16">IFERROR(
IF($ES16="LisChannel",
(ROUND(((INDEX({174.625;153.888888888889;130.972222222222},MATCH($AI16,{2;3;4}),0))*$AG16*$AI16),2)),0),0)</f>
        <v/>
      </c>
      <c r="DJ16" s="126">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1" t="inlineStr">
        <is>
          <t>послед.</t>
        </is>
      </c>
      <c r="DL16" s="63" t="n">
        <v>0</v>
      </c>
      <c r="DM16" s="63" t="n">
        <v>0</v>
      </c>
      <c r="DN16" s="63" t="n">
        <v>0</v>
      </c>
      <c r="DO16" s="63" t="n">
        <v>0</v>
      </c>
      <c r="DP16" s="63" t="n">
        <v>0</v>
      </c>
      <c r="DQ16" s="63">
        <f t="array" ref="DQ16">IFERROR(_xlfn.IFS(
$DK16="послед.",1-(1-$DL16)*(1-$DM16)*(1-$DN16)*(1-$DO16)*(1-$DP16),
$DK16="сумм.",$DL16+$DM16+$DN16+$DO16+$DP16),
0)</f>
        <v/>
      </c>
      <c r="DR16" s="121">
        <f t="array" ref="DR16">
IFERROR(
_xlfn.IFS(
$BL16=0,
0,
$BL16&gt;0,
_xlfn.IFS($DK16="послед.",
$DJ16*(1-$DL16)*(1-$DM16)*(1-$DN16)*(1-$DO16)*(1-$DP16),
$DK16="сумм.",
$DJ16*(1-($DL16+$DM16+$DN16+$DO16+$DP16)))),0)</f>
        <v/>
      </c>
      <c r="DS16" s="121">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1">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1">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1">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1">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1">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1">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1">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1">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1">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1">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1">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1">
        <f>SUM($DS16,$DT16,$DU16,$DV16,$DW16,$DX16,$DY16,$DZ16,$EA16,$EB16,$EC16,$ED16)</f>
        <v/>
      </c>
      <c r="EF16" s="121">
        <f>IFERROR(ROUND($EE16*(1+$EP16),2),0)</f>
        <v/>
      </c>
      <c r="EG16" s="124" t="n">
        <v>1</v>
      </c>
      <c r="EH16" s="122" t="n">
        <v>0</v>
      </c>
      <c r="EI16" s="122">
        <f>IFERROR(ROUND(SUM($EH16:$EH16)*SUM($AB16:$AB16)*$EG16,2),0)</f>
        <v/>
      </c>
      <c r="EJ16" s="122">
        <f>ROUND($EI16*(1+$EP16),2)</f>
        <v/>
      </c>
      <c r="EK16" s="122" t="n">
        <v>0</v>
      </c>
      <c r="EL16" s="122">
        <f>IFERROR(ROUND(SUM($EK16:$EK16)*SUM($AB16:$AB16)*$EG16,2),0)</f>
        <v/>
      </c>
      <c r="EM16" s="122">
        <f>ROUND($EL16*(1+$EP16),2)</f>
        <v/>
      </c>
      <c r="EN16" s="122">
        <f>SUM($EE16,$EI16,$EL16)</f>
        <v/>
      </c>
      <c r="EO16" s="122">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W16" t="inlineStr">
        <is>
          <t> </t>
        </is>
      </c>
    </row>
    <row r="17">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n"/>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n"/>
      <c r="U17" s="60" t="n"/>
      <c r="V17" s="60">
        <f>
IF(P17="Видео",
"цифровой постер/ролик",
IF(ISNUMBER(MATCH(Q17,{"короб световой","короб световой | лайтбокс","короб световой | кристалайт","лайтбокс","лайт бокс","кристалайт","LB","lightbox"},)),
"бэклит",
IF(P17="Брендирование/оклейка",
"перфарированная пленка/самоклейка",
IF(P17="Экспонирование",
"под запрос",
IF(P17="Подвес",
"баннер/ткань",
"")))))</f>
        <v/>
      </c>
      <c r="W17" s="59" t="n"/>
      <c r="X17" s="59" t="n"/>
      <c r="Y17" s="59" t="n"/>
      <c r="Z17" s="61" t="n"/>
      <c r="AA17" s="61" t="n"/>
      <c r="AB17" s="61">
        <f>IF(BL17&gt;0,Z17,0)</f>
        <v/>
      </c>
      <c r="AC17" s="59" t="n"/>
      <c r="AD17" s="59" t="n"/>
      <c r="AE17" s="59" t="n"/>
      <c r="AF17" s="59" t="n"/>
      <c r="AG17" s="59" t="n"/>
      <c r="AH17" s="59" t="n"/>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c r="AS17" s="61" t="n"/>
      <c r="AT17" s="61" t="n"/>
      <c r="AU17" s="65" t="n"/>
      <c r="AV17" s="120">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1">
        <f>$DJ17</f>
        <v/>
      </c>
      <c r="BO17" s="63">
        <f>$DQ17</f>
        <v/>
      </c>
      <c r="BP17" s="121">
        <f>
IFERROR(
IF($BL17=0,0,
$BN17*(1-$BO17)),
0)</f>
        <v/>
      </c>
      <c r="BQ17" s="121">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1">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1">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1">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1">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1">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1">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1">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1">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1">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1">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1">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1">
        <f>SUM($BQ17:$CB17)</f>
        <v/>
      </c>
      <c r="CD17" s="122">
        <f>SUM($EH17:$EH17)</f>
        <v/>
      </c>
      <c r="CE17" s="122">
        <f>$CD17*$AB17</f>
        <v/>
      </c>
      <c r="CF17" s="122">
        <f>SUM($EK17:$EK17)</f>
        <v/>
      </c>
      <c r="CG17" s="122">
        <f>$CF17*$AB17</f>
        <v/>
      </c>
      <c r="CH17" s="122">
        <f>SUM($CC17,$CE17,$CG17)</f>
        <v/>
      </c>
      <c r="CI17" s="122">
        <f>$CH17*(1+$CM17)</f>
        <v/>
      </c>
      <c r="CJ17" s="123" t="n">
        <v>0</v>
      </c>
      <c r="CK17" s="122">
        <f>SUM($CH17:$CH17)*(1+$CJ17)</f>
        <v/>
      </c>
      <c r="CL17" s="122">
        <f>SUM($CH17:$CH17)*(1+$CM17)</f>
        <v/>
      </c>
      <c r="CM17" s="59" t="n"/>
      <c r="CN17" s="59" t="n"/>
      <c r="CO17" s="72" t="n"/>
      <c r="CP17" s="59" t="n"/>
      <c r="CQ17" s="73" t="n"/>
      <c r="CR17" s="73" t="n"/>
      <c r="CS17" s="73" t="n"/>
      <c r="CT17" s="72" t="n"/>
      <c r="CU17" s="79" t="inlineStr">
        <is>
          <t> </t>
        </is>
      </c>
      <c r="CV17" s="60" t="n"/>
      <c r="CW17" s="60" t="n"/>
      <c r="CX17" s="60" t="n"/>
      <c r="CY17" s="123">
        <f>IFERROR(($CC17-$EE17)/($EE17/(1-$DQ17)),0)</f>
        <v/>
      </c>
      <c r="CZ17" s="123">
        <f>IFERROR(1-$EI17/($CE17),0)</f>
        <v/>
      </c>
      <c r="DA17" s="123">
        <f>IFERROR(1-$EL17/($CG17),0)</f>
        <v/>
      </c>
      <c r="DB17" s="122">
        <f>ROUND(IFERROR(($CI17/(1+$CM17)-$EN17),0),2)</f>
        <v/>
      </c>
      <c r="DC17" s="124" t="n"/>
      <c r="DD17" s="121" t="n"/>
      <c r="DE17" s="75" t="n">
        <v>0</v>
      </c>
      <c r="DF17" s="124" t="n"/>
      <c r="DG17" s="121">
        <f>IF($DC17=0,0,$DD17*($DC17*100%-$DE17*$DF17))*SUM($AB17:$AB17)</f>
        <v/>
      </c>
      <c r="DH17" s="125" t="inlineStr">
        <is>
          <t>месяц</t>
        </is>
      </c>
      <c r="DI17" s="126">
        <f t="array" ref="DI17">IFERROR(
IF($ES17="LisChannel",
(ROUND(((INDEX({174.625;153.888888888889;130.972222222222},MATCH($AI17,{2;3;4}),0))*$AG17*$AI17),2)),0),0)</f>
        <v/>
      </c>
      <c r="DJ17" s="126">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1" t="inlineStr">
        <is>
          <t>послед.</t>
        </is>
      </c>
      <c r="DL17" s="63" t="n">
        <v>0</v>
      </c>
      <c r="DM17" s="63" t="n">
        <v>0</v>
      </c>
      <c r="DN17" s="63" t="n">
        <v>0</v>
      </c>
      <c r="DO17" s="63" t="n">
        <v>0</v>
      </c>
      <c r="DP17" s="63" t="n">
        <v>0</v>
      </c>
      <c r="DQ17" s="63">
        <f t="array" ref="DQ17">IFERROR(_xlfn.IFS(
$DK17="послед.",1-(1-$DL17)*(1-$DM17)*(1-$DN17)*(1-$DO17)*(1-$DP17),
$DK17="сумм.",$DL17+$DM17+$DN17+$DO17+$DP17),
0)</f>
        <v/>
      </c>
      <c r="DR17" s="121">
        <f t="array" ref="DR17">
IFERROR(
_xlfn.IFS(
$BL17=0,
0,
$BL17&gt;0,
_xlfn.IFS($DK17="послед.",
$DJ17*(1-$DL17)*(1-$DM17)*(1-$DN17)*(1-$DO17)*(1-$DP17),
$DK17="сумм.",
$DJ17*(1-($DL17+$DM17+$DN17+$DO17+$DP17)))),0)</f>
        <v/>
      </c>
      <c r="DS17" s="121">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1">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1">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1">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1">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1">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1">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1">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1">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1">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1">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1">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1">
        <f>SUM($DS17,$DT17,$DU17,$DV17,$DW17,$DX17,$DY17,$DZ17,$EA17,$EB17,$EC17,$ED17)</f>
        <v/>
      </c>
      <c r="EF17" s="121">
        <f>IFERROR(ROUND($EE17*(1+$EP17),2),0)</f>
        <v/>
      </c>
      <c r="EG17" s="124" t="n">
        <v>1</v>
      </c>
      <c r="EH17" s="122" t="n">
        <v>0</v>
      </c>
      <c r="EI17" s="122">
        <f>ROUND(SUM($EH17:$EH17)*SUM($AB17:$AB17)*$EG17,2)</f>
        <v/>
      </c>
      <c r="EJ17" s="122">
        <f>ROUND($EI17*(1+$EP17),2)</f>
        <v/>
      </c>
      <c r="EK17" s="122" t="n">
        <v>0</v>
      </c>
      <c r="EL17" s="122">
        <f>ROUND(SUM($EK17:$EK17)*SUM($AB17:$AB17)*$EG17,2)</f>
        <v/>
      </c>
      <c r="EM17" s="122">
        <f>ROUND($EL17*(1+$EP17),2)</f>
        <v/>
      </c>
      <c r="EN17" s="122">
        <f>SUM($EE17,$EI17,$EL17)</f>
        <v/>
      </c>
      <c r="EO17" s="122">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W17" t="inlineStr">
        <is>
          <t> </t>
        </is>
      </c>
    </row>
    <row r="18">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n"/>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n"/>
      <c r="U18" s="60" t="n"/>
      <c r="V18" s="60">
        <f>
IF(P18="Видео",
"цифровой постер/ролик",
IF(ISNUMBER(MATCH(Q18,{"короб световой","короб световой | лайтбокс","короб световой | кристалайт","лайтбокс","лайт бокс","кристалайт","LB","lightbox"},)),
"бэклит",
IF(P18="Брендирование/оклейка",
"перфарированная пленка/самоклейка",
IF(P18="Экспонирование",
"под запрос",
IF(P18="Подвес",
"баннер/ткань",
"")))))</f>
        <v/>
      </c>
      <c r="W18" s="59" t="n"/>
      <c r="X18" s="59" t="n"/>
      <c r="Y18" s="59" t="n"/>
      <c r="Z18" s="61" t="n"/>
      <c r="AA18" s="61" t="n"/>
      <c r="AB18" s="61">
        <f>IF(BL18&gt;0,Z18,0)</f>
        <v/>
      </c>
      <c r="AC18" s="59" t="n"/>
      <c r="AD18" s="59" t="n"/>
      <c r="AE18" s="59" t="n"/>
      <c r="AF18" s="59" t="n"/>
      <c r="AG18" s="59" t="n"/>
      <c r="AH18" s="59" t="n"/>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c r="AS18" s="61" t="n"/>
      <c r="AT18" s="61" t="n"/>
      <c r="AU18" s="65" t="n"/>
      <c r="AV18" s="120">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1">
        <f>$DJ18</f>
        <v/>
      </c>
      <c r="BO18" s="63">
        <f>$DQ18</f>
        <v/>
      </c>
      <c r="BP18" s="121">
        <f>
IFERROR(
IF($BL18=0,0,
$BN18*(1-$BO18)),
0)</f>
        <v/>
      </c>
      <c r="BQ18" s="121">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1">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1">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1">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1">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1">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1">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1">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1">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1">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1">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1">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1">
        <f>SUM($BQ18:$CB18)</f>
        <v/>
      </c>
      <c r="CD18" s="122">
        <f>SUM($EH18:$EH18)</f>
        <v/>
      </c>
      <c r="CE18" s="122">
        <f>$CD18*$AB18</f>
        <v/>
      </c>
      <c r="CF18" s="122">
        <f>SUM($EK18:$EK18)</f>
        <v/>
      </c>
      <c r="CG18" s="122">
        <f>$CF18*$AB18</f>
        <v/>
      </c>
      <c r="CH18" s="122">
        <f>SUM($CC18,$CE18,$CG18)</f>
        <v/>
      </c>
      <c r="CI18" s="122">
        <f>$CH18*(1+$CM18)</f>
        <v/>
      </c>
      <c r="CJ18" s="123" t="n">
        <v>0</v>
      </c>
      <c r="CK18" s="122">
        <f>SUM($CH18:$CH18)*(1+$CJ18)</f>
        <v/>
      </c>
      <c r="CL18" s="122">
        <f>SUM($CH18:$CH18)*(1+$CM18)</f>
        <v/>
      </c>
      <c r="CM18" s="59" t="n"/>
      <c r="CN18" s="59" t="n"/>
      <c r="CO18" s="72" t="n"/>
      <c r="CP18" s="59" t="n"/>
      <c r="CQ18" s="73" t="n"/>
      <c r="CR18" s="73" t="n"/>
      <c r="CS18" s="73" t="n"/>
      <c r="CT18" s="72" t="n"/>
      <c r="CU18" s="79" t="inlineStr">
        <is>
          <t> </t>
        </is>
      </c>
      <c r="CV18" s="60" t="n"/>
      <c r="CW18" s="60" t="n"/>
      <c r="CX18" s="60" t="n"/>
      <c r="CY18" s="123">
        <f>IFERROR(($CC18-$EE18)/($EE18/(1-$DQ18)),0)</f>
        <v/>
      </c>
      <c r="CZ18" s="123">
        <f>IFERROR(1-$EI18/($CE18),0)</f>
        <v/>
      </c>
      <c r="DA18" s="123">
        <f>IFERROR(1-$EL18/($CG18),0)</f>
        <v/>
      </c>
      <c r="DB18" s="122">
        <f>ROUND(IFERROR(($CI18/(1+$CM18)-$EN18),0),2)</f>
        <v/>
      </c>
      <c r="DC18" s="124" t="n"/>
      <c r="DD18" s="121" t="n"/>
      <c r="DE18" s="75" t="n">
        <v>0</v>
      </c>
      <c r="DF18" s="124" t="n"/>
      <c r="DG18" s="121">
        <f>IF($DC18=0,0,$DD18*($DC18*100%-$DE18*$DF18))*SUM($AB18:$AB18)</f>
        <v/>
      </c>
      <c r="DH18" s="125" t="inlineStr">
        <is>
          <t>месяц</t>
        </is>
      </c>
      <c r="DI18" s="126">
        <f t="array" ref="DI18">IFERROR(
IF($ES18="LisChannel",
(ROUND(((INDEX({174.625;153.888888888889;130.972222222222},MATCH($AI18,{2;3;4}),0))*$AG18*$AI18),2)),0),0)</f>
        <v/>
      </c>
      <c r="DJ18" s="126">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1" t="inlineStr">
        <is>
          <t>послед.</t>
        </is>
      </c>
      <c r="DL18" s="63" t="n">
        <v>0</v>
      </c>
      <c r="DM18" s="63" t="n">
        <v>0</v>
      </c>
      <c r="DN18" s="63" t="n">
        <v>0</v>
      </c>
      <c r="DO18" s="63" t="n">
        <v>0</v>
      </c>
      <c r="DP18" s="63" t="n">
        <v>0</v>
      </c>
      <c r="DQ18" s="63">
        <f t="array" ref="DQ18">IFERROR(_xlfn.IFS(
$DK18="послед.",1-(1-$DL18)*(1-$DM18)*(1-$DN18)*(1-$DO18)*(1-$DP18),
$DK18="сумм.",$DL18+$DM18+$DN18+$DO18+$DP18),
0)</f>
        <v/>
      </c>
      <c r="DR18" s="121">
        <f t="array" ref="DR18">
IFERROR(
_xlfn.IFS(
$BL18=0,
0,
$BL18&gt;0,
_xlfn.IFS($DK18="послед.",
$DJ18*(1-$DL18)*(1-$DM18)*(1-$DN18)*(1-$DO18)*(1-$DP18),
$DK18="сумм.",
$DJ18*(1-($DL18+$DM18+$DN18+$DO18+$DP18)))),0)</f>
        <v/>
      </c>
      <c r="DS18" s="121">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1">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1">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1">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1">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1">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1">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1">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1">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1">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1">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1">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1">
        <f>SUM($DS18,$DT18,$DU18,$DV18,$DW18,$DX18,$DY18,$DZ18,$EA18,$EB18,$EC18,$ED18)</f>
        <v/>
      </c>
      <c r="EF18" s="121">
        <f>IFERROR(ROUND($EE18*(1+$EP18),2),0)</f>
        <v/>
      </c>
      <c r="EG18" s="124" t="n">
        <v>1</v>
      </c>
      <c r="EH18" s="122" t="n">
        <v>0</v>
      </c>
      <c r="EI18" s="122">
        <f>ROUND(SUM($EH18:$EH18)*SUM($AB18:$AB18)*$EG18,2)</f>
        <v/>
      </c>
      <c r="EJ18" s="122">
        <f>ROUND($EI18*(1+$EP18),2)</f>
        <v/>
      </c>
      <c r="EK18" s="122" t="n">
        <v>0</v>
      </c>
      <c r="EL18" s="122">
        <f>ROUND(SUM($EK18:$EK18)*SUM($AB18:$AB18)*$EG18,2)</f>
        <v/>
      </c>
      <c r="EM18" s="122">
        <f>ROUND($EL18*(1+$EP18),2)</f>
        <v/>
      </c>
      <c r="EN18" s="122">
        <f>SUM($EE18,$EI18,$EL18)</f>
        <v/>
      </c>
      <c r="EO18" s="122">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W18" t="inlineStr">
        <is>
          <t> </t>
        </is>
      </c>
    </row>
    <row r="19">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n"/>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n"/>
      <c r="U19" s="60" t="n"/>
      <c r="V19" s="60">
        <f>
IF(P19="Видео",
"цифровой постер/ролик",
IF(ISNUMBER(MATCH(Q19,{"короб световой","короб световой | лайтбокс","короб световой | кристалайт","лайтбокс","лайт бокс","кристалайт","LB","lightbox"},)),
"бэклит",
IF(P19="Брендирование/оклейка",
"перфарированная пленка/самоклейка",
IF(P19="Экспонирование",
"под запрос",
IF(P19="Подвес",
"баннер/ткань",
"")))))</f>
        <v/>
      </c>
      <c r="W19" s="59" t="n"/>
      <c r="X19" s="59" t="n"/>
      <c r="Y19" s="59" t="n"/>
      <c r="Z19" s="61" t="n"/>
      <c r="AA19" s="61" t="n"/>
      <c r="AB19" s="61">
        <f>IF(BL19&gt;0,Z19,0)</f>
        <v/>
      </c>
      <c r="AC19" s="59" t="n"/>
      <c r="AD19" s="59" t="n"/>
      <c r="AE19" s="59" t="n"/>
      <c r="AF19" s="59" t="n"/>
      <c r="AG19" s="59" t="n"/>
      <c r="AH19" s="59" t="n"/>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0">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1">
        <f>$DJ19</f>
        <v/>
      </c>
      <c r="BO19" s="63">
        <f>$DQ19</f>
        <v/>
      </c>
      <c r="BP19" s="121">
        <f>
IFERROR(
IF($BL19=0,0,
$BN19*(1-$BO19)),
0)</f>
        <v/>
      </c>
      <c r="BQ19" s="121">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1">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1">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1">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1">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1">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1">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1">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1">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1">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1">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1">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1">
        <f>SUM($BQ19:$CB19)</f>
        <v/>
      </c>
      <c r="CD19" s="122">
        <f>SUM($EH19:$EH19)</f>
        <v/>
      </c>
      <c r="CE19" s="122">
        <f>$CD19*$AB19</f>
        <v/>
      </c>
      <c r="CF19" s="122">
        <f>SUM($EK19:$EK19)</f>
        <v/>
      </c>
      <c r="CG19" s="122">
        <f>$CF19*$AB19</f>
        <v/>
      </c>
      <c r="CH19" s="122">
        <f>SUM($CC19,$CE19,$CG19)</f>
        <v/>
      </c>
      <c r="CI19" s="122">
        <f>$CH19*(1+$CM19)</f>
        <v/>
      </c>
      <c r="CJ19" s="123" t="n">
        <v>0</v>
      </c>
      <c r="CK19" s="122">
        <f>SUM($CH19:$CH19)*(1+$CJ19)</f>
        <v/>
      </c>
      <c r="CL19" s="122">
        <f>SUM($CH19:$CH19)*(1+$CM19)</f>
        <v/>
      </c>
      <c r="CM19" s="59" t="n"/>
      <c r="CN19" s="59" t="n"/>
      <c r="CO19" s="72" t="n"/>
      <c r="CP19" s="59" t="n"/>
      <c r="CQ19" s="73" t="n"/>
      <c r="CR19" s="73" t="n"/>
      <c r="CS19" s="73" t="n"/>
      <c r="CT19" s="72" t="n"/>
      <c r="CU19" s="79" t="inlineStr">
        <is>
          <t> </t>
        </is>
      </c>
      <c r="CV19" s="60" t="n"/>
      <c r="CW19" s="60" t="n"/>
      <c r="CX19" s="60" t="n"/>
      <c r="CY19" s="123">
        <f>IFERROR(($CC19-$EE19)/($EE19/(1-$DQ19)),0)</f>
        <v/>
      </c>
      <c r="CZ19" s="123">
        <f>IFERROR(1-$EI19/($CE19),0)</f>
        <v/>
      </c>
      <c r="DA19" s="123">
        <f>IFERROR(1-$EL19/($CG19),0)</f>
        <v/>
      </c>
      <c r="DB19" s="122">
        <f>ROUND(IFERROR(($CI19/(1+$CM19)-$EN19),0),2)</f>
        <v/>
      </c>
      <c r="DC19" s="124" t="n"/>
      <c r="DD19" s="121" t="n"/>
      <c r="DE19" s="75" t="n">
        <v>0</v>
      </c>
      <c r="DF19" s="124" t="n"/>
      <c r="DG19" s="121">
        <f>IF($DC19=0,0,$DD19*($DC19*100%-$DE19*$DF19))*SUM($AB19:$AB19)</f>
        <v/>
      </c>
      <c r="DH19" s="125" t="inlineStr">
        <is>
          <t>месяц</t>
        </is>
      </c>
      <c r="DI19" s="126">
        <f t="array" ref="DI19">IFERROR(
IF($ES19="LisChannel",
(ROUND(((INDEX({174.625;153.888888888889;130.972222222222},MATCH($AI19,{2;3;4}),0))*$AG19*$AI19),2)),0),0)</f>
        <v/>
      </c>
      <c r="DJ19" s="126">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1" t="inlineStr">
        <is>
          <t>послед.</t>
        </is>
      </c>
      <c r="DL19" s="63" t="n">
        <v>0</v>
      </c>
      <c r="DM19" s="63" t="n">
        <v>0</v>
      </c>
      <c r="DN19" s="63" t="n">
        <v>0</v>
      </c>
      <c r="DO19" s="63" t="n">
        <v>0</v>
      </c>
      <c r="DP19" s="63" t="n">
        <v>0</v>
      </c>
      <c r="DQ19" s="63">
        <f t="array" ref="DQ19">IFERROR(_xlfn.IFS(
$DK19="послед.",1-(1-$DL19)*(1-$DM19)*(1-$DN19)*(1-$DO19)*(1-$DP19),
$DK19="сумм.",$DL19+$DM19+$DN19+$DO19+$DP19),
0)</f>
        <v/>
      </c>
      <c r="DR19" s="121">
        <f t="array" ref="DR19">
IFERROR(
_xlfn.IFS(
$BL19=0,
0,
$BL19&gt;0,
_xlfn.IFS($DK19="послед.",
$DJ19*(1-$DL19)*(1-$DM19)*(1-$DN19)*(1-$DO19)*(1-$DP19),
$DK19="сумм.",
$DJ19*(1-($DL19+$DM19+$DN19+$DO19+$DP19)))),0)</f>
        <v/>
      </c>
      <c r="DS19" s="121">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1">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1">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1">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1">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1">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1">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1">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1">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1">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1">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1">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1">
        <f>SUM($DS19,$DT19,$DU19,$DV19,$DW19,$DX19,$DY19,$DZ19,$EA19,$EB19,$EC19,$ED19)</f>
        <v/>
      </c>
      <c r="EF19" s="121">
        <f>IFERROR(ROUND($EE19*(1+$EP19),2),0)</f>
        <v/>
      </c>
      <c r="EG19" s="124" t="n">
        <v>1</v>
      </c>
      <c r="EH19" s="122" t="n">
        <v>0</v>
      </c>
      <c r="EI19" s="122">
        <f>ROUND(SUM($EH19:$EH19)*SUM($AB19:$AB19)*$EG19,2)</f>
        <v/>
      </c>
      <c r="EJ19" s="122">
        <f>ROUND($EI19*(1+$EP19),2)</f>
        <v/>
      </c>
      <c r="EK19" s="122" t="n">
        <v>0</v>
      </c>
      <c r="EL19" s="122">
        <f>ROUND(SUM($EK19:$EK19)*SUM($AB19:$AB19)*$EG19,2)</f>
        <v/>
      </c>
      <c r="EM19" s="122">
        <f>ROUND($EL19*(1+$EP19),2)</f>
        <v/>
      </c>
      <c r="EN19" s="122">
        <f>SUM($EE19,$EI19,$EL19)</f>
        <v/>
      </c>
      <c r="EO19" s="122">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W19" t="inlineStr">
        <is>
          <t> </t>
        </is>
      </c>
    </row>
    <row r="20">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n"/>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n"/>
      <c r="U20" s="60" t="n"/>
      <c r="V20" s="60">
        <f>
IF(P20="Видео",
"цифровой постер/ролик",
IF(ISNUMBER(MATCH(Q20,{"короб световой","короб световой | лайтбокс","короб световой | кристалайт","лайтбокс","лайт бокс","кристалайт","LB","lightbox"},)),
"бэклит",
IF(P20="Брендирование/оклейка",
"перфарированная пленка/самоклейка",
IF(P20="Экспонирование",
"под запрос",
IF(P20="Подвес",
"баннер/ткань",
"")))))</f>
        <v/>
      </c>
      <c r="W20" s="59" t="n"/>
      <c r="X20" s="59" t="n"/>
      <c r="Y20" s="59" t="n"/>
      <c r="Z20" s="61" t="n"/>
      <c r="AA20" s="61" t="n"/>
      <c r="AB20" s="61">
        <f>IF(BL20&gt;0,Z20,0)</f>
        <v/>
      </c>
      <c r="AC20" s="59" t="n"/>
      <c r="AD20" s="59" t="n"/>
      <c r="AE20" s="59" t="n"/>
      <c r="AF20" s="59" t="n"/>
      <c r="AG20" s="59" t="n"/>
      <c r="AH20" s="59" t="n"/>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c r="AS20" s="61" t="n"/>
      <c r="AT20" s="61" t="n"/>
      <c r="AU20" s="65" t="n"/>
      <c r="AV20" s="120">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1">
        <f>$DJ20</f>
        <v/>
      </c>
      <c r="BO20" s="63">
        <f>$DQ20</f>
        <v/>
      </c>
      <c r="BP20" s="121">
        <f>
IFERROR(
IF($BL20=0,0,
$BN20*(1-$BO20)),
0)</f>
        <v/>
      </c>
      <c r="BQ20" s="121">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1">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1">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1">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1">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1">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1">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1">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1">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1">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1">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1">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1">
        <f>SUM($BQ20:$CB20)</f>
        <v/>
      </c>
      <c r="CD20" s="122">
        <f>SUM($EH20:$EH20)</f>
        <v/>
      </c>
      <c r="CE20" s="122">
        <f>$CD20*$AB20</f>
        <v/>
      </c>
      <c r="CF20" s="122">
        <f>SUM($EK20:$EK20)</f>
        <v/>
      </c>
      <c r="CG20" s="122">
        <f>$CF20*$AB20</f>
        <v/>
      </c>
      <c r="CH20" s="122">
        <f>SUM($CC20,$CE20,$CG20)</f>
        <v/>
      </c>
      <c r="CI20" s="122">
        <f>$CH20*(1+$CM20)</f>
        <v/>
      </c>
      <c r="CJ20" s="123" t="n">
        <v>0</v>
      </c>
      <c r="CK20" s="122">
        <f>SUM($CH20:$CH20)*(1+$CJ20)</f>
        <v/>
      </c>
      <c r="CL20" s="122">
        <f>SUM($CH20:$CH20)*(1+$CM20)</f>
        <v/>
      </c>
      <c r="CM20" s="59" t="n"/>
      <c r="CN20" s="59" t="n"/>
      <c r="CO20" s="72" t="n"/>
      <c r="CP20" s="59" t="n"/>
      <c r="CQ20" s="73" t="n"/>
      <c r="CR20" s="73" t="n"/>
      <c r="CS20" s="73" t="n"/>
      <c r="CT20" s="72" t="n"/>
      <c r="CU20" s="79" t="inlineStr">
        <is>
          <t> </t>
        </is>
      </c>
      <c r="CV20" s="60" t="n"/>
      <c r="CW20" s="60" t="n"/>
      <c r="CX20" s="60" t="n"/>
      <c r="CY20" s="123">
        <f>IFERROR(($CC20-$EE20)/($EE20/(1-$DQ20)),0)</f>
        <v/>
      </c>
      <c r="CZ20" s="123">
        <f>IFERROR(1-$EI20/($CE20),0)</f>
        <v/>
      </c>
      <c r="DA20" s="123">
        <f>IFERROR(1-$EL20/($CG20),0)</f>
        <v/>
      </c>
      <c r="DB20" s="122">
        <f>ROUND(IFERROR(($CI20/(1+$CM20)-$EN20),0),2)</f>
        <v/>
      </c>
      <c r="DC20" s="124" t="n"/>
      <c r="DD20" s="121" t="n"/>
      <c r="DE20" s="75" t="n">
        <v>0</v>
      </c>
      <c r="DF20" s="124" t="n"/>
      <c r="DG20" s="121">
        <f>IF($DC20=0,0,$DD20*($DC20*100%-$DE20*$DF20))*SUM($AB20:$AB20)</f>
        <v/>
      </c>
      <c r="DH20" s="125" t="inlineStr">
        <is>
          <t>месяц</t>
        </is>
      </c>
      <c r="DI20" s="126">
        <f t="array" ref="DI20">IFERROR(
IF($ES20="LisChannel",
(ROUND(((INDEX({174.625;153.888888888889;130.972222222222},MATCH($AI20,{2;3;4}),0))*$AG20*$AI20),2)),0),0)</f>
        <v/>
      </c>
      <c r="DJ20" s="126">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1" t="inlineStr">
        <is>
          <t>послед.</t>
        </is>
      </c>
      <c r="DL20" s="63" t="n">
        <v>0</v>
      </c>
      <c r="DM20" s="63" t="n">
        <v>0</v>
      </c>
      <c r="DN20" s="63" t="n">
        <v>0</v>
      </c>
      <c r="DO20" s="63" t="n">
        <v>0</v>
      </c>
      <c r="DP20" s="63" t="n">
        <v>0</v>
      </c>
      <c r="DQ20" s="63">
        <f t="array" ref="DQ20">IFERROR(_xlfn.IFS(
$DK20="послед.",1-(1-$DL20)*(1-$DM20)*(1-$DN20)*(1-$DO20)*(1-$DP20),
$DK20="сумм.",$DL20+$DM20+$DN20+$DO20+$DP20),
0)</f>
        <v/>
      </c>
      <c r="DR20" s="121">
        <f t="array" ref="DR20">
IFERROR(
_xlfn.IFS(
$BL20=0,
0,
$BL20&gt;0,
_xlfn.IFS($DK20="послед.",
$DJ20*(1-$DL20)*(1-$DM20)*(1-$DN20)*(1-$DO20)*(1-$DP20),
$DK20="сумм.",
$DJ20*(1-($DL20+$DM20+$DN20+$DO20+$DP20)))),0)</f>
        <v/>
      </c>
      <c r="DS20" s="121">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1">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1">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1">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1">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1">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1">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1">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1">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1">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1">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1">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1">
        <f>SUM($DS20,$DT20,$DU20,$DV20,$DW20,$DX20,$DY20,$DZ20,$EA20,$EB20,$EC20,$ED20)</f>
        <v/>
      </c>
      <c r="EF20" s="121">
        <f>IFERROR(ROUND($EE20*(1+$EP20),2),0)</f>
        <v/>
      </c>
      <c r="EG20" s="124" t="n">
        <v>1</v>
      </c>
      <c r="EH20" s="122" t="n">
        <v>0</v>
      </c>
      <c r="EI20" s="122">
        <f>ROUND(SUM($EH20:$EH20)*SUM($AB20:$AB20)*$EG20,2)</f>
        <v/>
      </c>
      <c r="EJ20" s="122">
        <f>ROUND($EI20*(1+$EP20),2)</f>
        <v/>
      </c>
      <c r="EK20" s="122" t="n">
        <v>0</v>
      </c>
      <c r="EL20" s="122">
        <f>ROUND(SUM($EK20:$EK20)*SUM($AB20:$AB20)*$EG20,2)</f>
        <v/>
      </c>
      <c r="EM20" s="122">
        <f>ROUND($EL20*(1+$EP20),2)</f>
        <v/>
      </c>
      <c r="EN20" s="122">
        <f>SUM($EE20,$EI20,$EL20)</f>
        <v/>
      </c>
      <c r="EO20" s="122">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W20" t="inlineStr">
        <is>
          <t> </t>
        </is>
      </c>
    </row>
    <row r="2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n"/>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n"/>
      <c r="T21" s="60" t="n"/>
      <c r="U21" s="60" t="n"/>
      <c r="V21" s="60">
        <f>
IF(P21="Видео",
"цифровой постер/ролик",
IF(ISNUMBER(MATCH(Q21,{"короб световой","короб световой | лайтбокс","короб световой | кристалайт","лайтбокс","лайт бокс","кристалайт","LB","lightbox"},)),
"бэклит",
IF(P21="Брендирование/оклейка",
"перфарированная пленка/самоклейка",
IF(P21="Экспонирование",
"под запрос",
IF(P21="Подвес",
"баннер/ткань",
"")))))</f>
        <v/>
      </c>
      <c r="W21" s="59" t="n"/>
      <c r="X21" s="59" t="n"/>
      <c r="Y21" s="59" t="n"/>
      <c r="Z21" s="61" t="n"/>
      <c r="AA21" s="61" t="n"/>
      <c r="AB21" s="61">
        <f>IF(BL21&gt;0,Z21,0)</f>
        <v/>
      </c>
      <c r="AC21" s="59" t="n"/>
      <c r="AD21" s="59" t="n"/>
      <c r="AE21" s="59" t="n"/>
      <c r="AF21" s="59" t="n"/>
      <c r="AG21" s="59" t="n"/>
      <c r="AH21" s="59" t="n"/>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c r="AS21" s="61" t="n"/>
      <c r="AT21" s="61" t="n"/>
      <c r="AU21" s="65" t="n"/>
      <c r="AV21" s="120">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1">
        <f>$DJ21</f>
        <v/>
      </c>
      <c r="BO21" s="63">
        <f>$DQ21</f>
        <v/>
      </c>
      <c r="BP21" s="121">
        <f>
IFERROR(
IF($BL21=0,0,
$BN21*(1-$BO21)),
0)</f>
        <v/>
      </c>
      <c r="BQ21" s="121">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1">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1">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1">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1">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1">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1">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1">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1">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1">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1">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1">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1">
        <f>SUM($BQ21:$CB21)</f>
        <v/>
      </c>
      <c r="CD21" s="122">
        <f>SUM($EH21:$EH21)</f>
        <v/>
      </c>
      <c r="CE21" s="122">
        <f>$CD21*$AB21</f>
        <v/>
      </c>
      <c r="CF21" s="122">
        <f>SUM($EK21:$EK21)</f>
        <v/>
      </c>
      <c r="CG21" s="122">
        <f>$CF21*$AB21</f>
        <v/>
      </c>
      <c r="CH21" s="122">
        <f>SUM($CC21,$CE21,$CG21)</f>
        <v/>
      </c>
      <c r="CI21" s="122">
        <f>$CH21*(1+$CM21)</f>
        <v/>
      </c>
      <c r="CJ21" s="123" t="n">
        <v>0</v>
      </c>
      <c r="CK21" s="122">
        <f>SUM($CH21:$CH21)*(1+$CJ21)</f>
        <v/>
      </c>
      <c r="CL21" s="122">
        <f>SUM($CH21:$CH21)*(1+$CM21)</f>
        <v/>
      </c>
      <c r="CM21" s="59" t="n"/>
      <c r="CN21" s="59" t="n"/>
      <c r="CO21" s="72" t="n"/>
      <c r="CP21" s="59" t="n"/>
      <c r="CQ21" s="73" t="n"/>
      <c r="CR21" s="73" t="n"/>
      <c r="CS21" s="73" t="n"/>
      <c r="CT21" s="72" t="n"/>
      <c r="CU21" s="79" t="inlineStr">
        <is>
          <t> </t>
        </is>
      </c>
      <c r="CV21" s="60" t="n"/>
      <c r="CW21" s="60" t="n"/>
      <c r="CX21" s="60" t="n"/>
      <c r="CY21" s="123">
        <f>IFERROR(($CC21-$EE21)/($EE21/(1-$DQ21)),0)</f>
        <v/>
      </c>
      <c r="CZ21" s="123">
        <f>IFERROR(1-$EI21/($CE21),0)</f>
        <v/>
      </c>
      <c r="DA21" s="123">
        <f>IFERROR(1-$EL21/($CG21),0)</f>
        <v/>
      </c>
      <c r="DB21" s="122">
        <f>ROUND(IFERROR(($CI21/(1+$CM21)-$EN21),0),2)</f>
        <v/>
      </c>
      <c r="DC21" s="124" t="n"/>
      <c r="DD21" s="121" t="n"/>
      <c r="DE21" s="75" t="n">
        <v>0</v>
      </c>
      <c r="DF21" s="124" t="n"/>
      <c r="DG21" s="121">
        <f>IF($DC21=0,0,$DD21*($DC21*100%-$DE21*$DF21))*SUM($AB21:$AB21)</f>
        <v/>
      </c>
      <c r="DH21" s="125" t="inlineStr">
        <is>
          <t>месяц</t>
        </is>
      </c>
      <c r="DI21" s="126">
        <f t="array" ref="DI21">IFERROR(
IF($ES21="LisChannel",
(ROUND(((INDEX({174.625;153.888888888889;130.972222222222},MATCH($AI21,{2;3;4}),0))*$AG21*$AI21),2)),0),0)</f>
        <v/>
      </c>
      <c r="DJ21" s="126">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1" t="inlineStr">
        <is>
          <t>послед.</t>
        </is>
      </c>
      <c r="DL21" s="63" t="n">
        <v>0</v>
      </c>
      <c r="DM21" s="63" t="n">
        <v>0</v>
      </c>
      <c r="DN21" s="63" t="n">
        <v>0</v>
      </c>
      <c r="DO21" s="63" t="n">
        <v>0</v>
      </c>
      <c r="DP21" s="63" t="n">
        <v>0</v>
      </c>
      <c r="DQ21" s="63">
        <f t="array" ref="DQ21">IFERROR(_xlfn.IFS(
$DK21="послед.",1-(1-$DL21)*(1-$DM21)*(1-$DN21)*(1-$DO21)*(1-$DP21),
$DK21="сумм.",$DL21+$DM21+$DN21+$DO21+$DP21),
0)</f>
        <v/>
      </c>
      <c r="DR21" s="121">
        <f t="array" ref="DR21">
IFERROR(
_xlfn.IFS(
$BL21=0,
0,
$BL21&gt;0,
_xlfn.IFS($DK21="послед.",
$DJ21*(1-$DL21)*(1-$DM21)*(1-$DN21)*(1-$DO21)*(1-$DP21),
$DK21="сумм.",
$DJ21*(1-($DL21+$DM21+$DN21+$DO21+$DP21)))),0)</f>
        <v/>
      </c>
      <c r="DS21" s="121">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1">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1">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1">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1">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1">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1">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1">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1">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1">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1">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1">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1">
        <f>SUM($DS21,$DT21,$DU21,$DV21,$DW21,$DX21,$DY21,$DZ21,$EA21,$EB21,$EC21,$ED21)</f>
        <v/>
      </c>
      <c r="EF21" s="121">
        <f>IFERROR(ROUND($EE21*(1+$EP21),2),0)</f>
        <v/>
      </c>
      <c r="EG21" s="124" t="n">
        <v>1</v>
      </c>
      <c r="EH21" s="122" t="n">
        <v>0</v>
      </c>
      <c r="EI21" s="122">
        <f>ROUND(SUM($EH21:$EH21)*SUM($AB21:$AB21)*$EG21,2)</f>
        <v/>
      </c>
      <c r="EJ21" s="122">
        <f>ROUND($EI21*(1+$EP21),2)</f>
        <v/>
      </c>
      <c r="EK21" s="122" t="n">
        <v>0</v>
      </c>
      <c r="EL21" s="122">
        <f>ROUND(SUM($EK21:$EK21)*SUM($AB21:$AB21)*$EG21,2)</f>
        <v/>
      </c>
      <c r="EM21" s="122">
        <f>ROUND($EL21*(1+$EP21),2)</f>
        <v/>
      </c>
      <c r="EN21" s="122">
        <f>SUM($EE21,$EI21,$EL21)</f>
        <v/>
      </c>
      <c r="EO21" s="122">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W21" t="inlineStr">
        <is>
          <t> </t>
        </is>
      </c>
    </row>
    <row r="22">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n"/>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n"/>
      <c r="T22" s="60" t="n"/>
      <c r="U22" s="60" t="n"/>
      <c r="V22" s="60">
        <f>
IF(P22="Видео",
"цифровой постер/ролик",
IF(ISNUMBER(MATCH(Q22,{"короб световой","короб световой | лайтбокс","короб световой | кристалайт","лайтбокс","лайт бокс","кристалайт","LB","lightbox"},)),
"бэклит",
IF(P22="Брендирование/оклейка",
"перфарированная пленка/самоклейка",
IF(P22="Экспонирование",
"под запрос",
IF(P22="Подвес",
"баннер/ткань",
"")))))</f>
        <v/>
      </c>
      <c r="W22" s="59" t="n"/>
      <c r="X22" s="59" t="n"/>
      <c r="Y22" s="59" t="n"/>
      <c r="Z22" s="61" t="n"/>
      <c r="AA22" s="61" t="n"/>
      <c r="AB22" s="61">
        <f>IF(BL22&gt;0,Z22,0)</f>
        <v/>
      </c>
      <c r="AC22" s="59" t="n"/>
      <c r="AD22" s="59" t="n"/>
      <c r="AE22" s="59" t="n"/>
      <c r="AF22" s="59" t="n"/>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c r="AS22" s="61" t="n"/>
      <c r="AT22" s="61" t="n"/>
      <c r="AU22" s="65" t="n"/>
      <c r="AV22" s="120">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1">
        <f>$DJ22</f>
        <v/>
      </c>
      <c r="BO22" s="63">
        <f>$DQ22</f>
        <v/>
      </c>
      <c r="BP22" s="121">
        <f>
IFERROR(
IF($BL22=0,0,
$BN22*(1-$BO22)),
0)</f>
        <v/>
      </c>
      <c r="BQ22" s="121">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1">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1">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1">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1">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1">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1">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1">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1">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1">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1">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1">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1">
        <f>SUM($BQ22:$CB22)</f>
        <v/>
      </c>
      <c r="CD22" s="122">
        <f>SUM($EH22:$EH22)</f>
        <v/>
      </c>
      <c r="CE22" s="122">
        <f>$CD22*$AB22</f>
        <v/>
      </c>
      <c r="CF22" s="122">
        <f>SUM($EK22:$EK22)</f>
        <v/>
      </c>
      <c r="CG22" s="122">
        <f>$CF22*$AB22</f>
        <v/>
      </c>
      <c r="CH22" s="122">
        <f>SUM($CC22,$CE22,$CG22)</f>
        <v/>
      </c>
      <c r="CI22" s="122">
        <f>$CH22*(1+$CM22)</f>
        <v/>
      </c>
      <c r="CJ22" s="123" t="n">
        <v>0</v>
      </c>
      <c r="CK22" s="122">
        <f>SUM($CH22:$CH22)*(1+$CJ22)</f>
        <v/>
      </c>
      <c r="CL22" s="122">
        <f>SUM($CH22:$CH22)*(1+$CM22)</f>
        <v/>
      </c>
      <c r="CM22" s="59" t="n"/>
      <c r="CN22" s="59" t="n"/>
      <c r="CO22" s="72" t="n"/>
      <c r="CP22" s="59" t="n"/>
      <c r="CQ22" s="73" t="n"/>
      <c r="CR22" s="73" t="n"/>
      <c r="CS22" s="73" t="n"/>
      <c r="CT22" s="72" t="n"/>
      <c r="CU22" s="79" t="inlineStr">
        <is>
          <t> </t>
        </is>
      </c>
      <c r="CV22" s="60" t="n"/>
      <c r="CW22" s="60" t="n"/>
      <c r="CX22" s="60" t="n"/>
      <c r="CY22" s="123">
        <f>IFERROR(($CC22-$EE22)/($EE22/(1-$DQ22)),0)</f>
        <v/>
      </c>
      <c r="CZ22" s="123">
        <f>IFERROR(1-$EI22/($CE22),0)</f>
        <v/>
      </c>
      <c r="DA22" s="123">
        <f>IFERROR(1-$EL22/($CG22),0)</f>
        <v/>
      </c>
      <c r="DB22" s="122">
        <f>ROUND(IFERROR(($CI22/(1+$CM22)-$EN22),0),2)</f>
        <v/>
      </c>
      <c r="DC22" s="124" t="n"/>
      <c r="DD22" s="121" t="n"/>
      <c r="DE22" s="75" t="n">
        <v>0</v>
      </c>
      <c r="DF22" s="124" t="n"/>
      <c r="DG22" s="121">
        <f>IF($DC22=0,0,$DD22*($DC22*100%-$DE22*$DF22))*SUM($AB22:$AB22)</f>
        <v/>
      </c>
      <c r="DH22" s="125" t="inlineStr">
        <is>
          <t>месяц</t>
        </is>
      </c>
      <c r="DI22" s="126">
        <f t="array" ref="DI22">IFERROR(
IF($ES22="LisChannel",
(ROUND(((INDEX({174.625;153.888888888889;130.972222222222},MATCH($AI22,{2;3;4}),0))*$AG22*$AI22),2)),0),0)</f>
        <v/>
      </c>
      <c r="DJ22" s="126">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1" t="inlineStr">
        <is>
          <t>послед.</t>
        </is>
      </c>
      <c r="DL22" s="63" t="n">
        <v>0</v>
      </c>
      <c r="DM22" s="63" t="n">
        <v>0</v>
      </c>
      <c r="DN22" s="63" t="n">
        <v>0</v>
      </c>
      <c r="DO22" s="63" t="n">
        <v>0</v>
      </c>
      <c r="DP22" s="63" t="n">
        <v>0</v>
      </c>
      <c r="DQ22" s="63">
        <f t="array" ref="DQ22">IFERROR(_xlfn.IFS(
$DK22="послед.",1-(1-$DL22)*(1-$DM22)*(1-$DN22)*(1-$DO22)*(1-$DP22),
$DK22="сумм.",$DL22+$DM22+$DN22+$DO22+$DP22),
0)</f>
        <v/>
      </c>
      <c r="DR22" s="121">
        <f t="array" ref="DR22">
IFERROR(
_xlfn.IFS(
$BL22=0,
0,
$BL22&gt;0,
_xlfn.IFS($DK22="послед.",
$DJ22*(1-$DL22)*(1-$DM22)*(1-$DN22)*(1-$DO22)*(1-$DP22),
$DK22="сумм.",
$DJ22*(1-($DL22+$DM22+$DN22+$DO22+$DP22)))),0)</f>
        <v/>
      </c>
      <c r="DS22" s="121">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1">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1">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1">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1">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1">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1">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1">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1">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1">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1">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1">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1">
        <f>SUM($DS22,$DT22,$DU22,$DV22,$DW22,$DX22,$DY22,$DZ22,$EA22,$EB22,$EC22,$ED22)</f>
        <v/>
      </c>
      <c r="EF22" s="121">
        <f>IFERROR(ROUND($EE22*(1+$EP22),2),0)</f>
        <v/>
      </c>
      <c r="EG22" s="124" t="n">
        <v>1</v>
      </c>
      <c r="EH22" s="122" t="n">
        <v>0</v>
      </c>
      <c r="EI22" s="122">
        <f>ROUND(SUM($EH22:$EH22)*SUM($AB22:$AB22)*$EG22,2)</f>
        <v/>
      </c>
      <c r="EJ22" s="122">
        <f>ROUND($EI22*(1+$EP22),2)</f>
        <v/>
      </c>
      <c r="EK22" s="122" t="n">
        <v>0</v>
      </c>
      <c r="EL22" s="122">
        <f>ROUND(SUM($EK22:$EK22)*SUM($AB22:$AB22)*$EG22,2)</f>
        <v/>
      </c>
      <c r="EM22" s="122">
        <f>ROUND($EL22*(1+$EP22),2)</f>
        <v/>
      </c>
      <c r="EN22" s="122">
        <f>SUM($EE22,$EI22,$EL22)</f>
        <v/>
      </c>
      <c r="EO22" s="122">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W22" t="inlineStr">
        <is>
          <t> </t>
        </is>
      </c>
    </row>
    <row r="23">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n"/>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n"/>
      <c r="T23" s="60" t="n"/>
      <c r="U23" s="60" t="n"/>
      <c r="V23" s="60">
        <f>
IF(P23="Видео",
"цифровой постер/ролик",
IF(ISNUMBER(MATCH(Q23,{"короб световой","короб световой | лайтбокс","короб световой | кристалайт","лайтбокс","лайт бокс","кристалайт","LB","lightbox"},)),
"бэклит",
IF(P23="Брендирование/оклейка",
"перфарированная пленка/самоклейка",
IF(P23="Экспонирование",
"под запрос",
IF(P23="Подвес",
"баннер/ткань",
"")))))</f>
        <v/>
      </c>
      <c r="W23" s="59" t="n"/>
      <c r="X23" s="59" t="n"/>
      <c r="Y23" s="59" t="n"/>
      <c r="Z23" s="61" t="n"/>
      <c r="AA23" s="61" t="n"/>
      <c r="AB23" s="61">
        <f>IF(BL23&gt;0,Z23,0)</f>
        <v/>
      </c>
      <c r="AC23" s="59" t="n"/>
      <c r="AD23" s="59" t="n"/>
      <c r="AE23" s="59" t="n"/>
      <c r="AF23" s="59" t="n"/>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c r="AS23" s="61" t="n"/>
      <c r="AT23" s="61" t="n"/>
      <c r="AU23" s="65" t="n"/>
      <c r="AV23" s="120">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1">
        <f>$DJ23</f>
        <v/>
      </c>
      <c r="BO23" s="63">
        <f>$DQ23</f>
        <v/>
      </c>
      <c r="BP23" s="121">
        <f>
IFERROR(
IF($BL23=0,0,
$BN23*(1-$BO23)),
0)</f>
        <v/>
      </c>
      <c r="BQ23" s="121">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1">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1">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1">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1">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1">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1">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1">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1">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1">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1">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1">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1">
        <f>SUM($BQ23:$CB23)</f>
        <v/>
      </c>
      <c r="CD23" s="122">
        <f>SUM($EH23:$EH23)</f>
        <v/>
      </c>
      <c r="CE23" s="122">
        <f>$CD23*$AB23</f>
        <v/>
      </c>
      <c r="CF23" s="122">
        <f>SUM($EK23:$EK23)</f>
        <v/>
      </c>
      <c r="CG23" s="122">
        <f>$CF23*$AB23</f>
        <v/>
      </c>
      <c r="CH23" s="122">
        <f>SUM($CC23,$CE23,$CG23)</f>
        <v/>
      </c>
      <c r="CI23" s="122">
        <f>$CH23*(1+$CM23)</f>
        <v/>
      </c>
      <c r="CJ23" s="123" t="n">
        <v>0</v>
      </c>
      <c r="CK23" s="122">
        <f>SUM($CH23:$CH23)*(1+$CJ23)</f>
        <v/>
      </c>
      <c r="CL23" s="122">
        <f>SUM($CH23:$CH23)*(1+$CM23)</f>
        <v/>
      </c>
      <c r="CM23" s="59" t="n"/>
      <c r="CN23" s="59" t="n"/>
      <c r="CO23" s="72" t="n"/>
      <c r="CP23" s="59" t="n"/>
      <c r="CQ23" s="73" t="n"/>
      <c r="CR23" s="73" t="n"/>
      <c r="CS23" s="73" t="n"/>
      <c r="CT23" s="72" t="n"/>
      <c r="CU23" s="79" t="inlineStr">
        <is>
          <t> </t>
        </is>
      </c>
      <c r="CV23" s="60" t="n"/>
      <c r="CW23" s="60" t="n"/>
      <c r="CX23" s="60" t="n"/>
      <c r="CY23" s="123">
        <f>IFERROR(($CC23-$EE23)/($EE23/(1-$DQ23)),0)</f>
        <v/>
      </c>
      <c r="CZ23" s="123">
        <f>IFERROR(1-$EI23/($CE23),0)</f>
        <v/>
      </c>
      <c r="DA23" s="123">
        <f>IFERROR(1-$EL23/($CG23),0)</f>
        <v/>
      </c>
      <c r="DB23" s="122">
        <f>ROUND(IFERROR(($CI23/(1+$CM23)-$EN23),0),2)</f>
        <v/>
      </c>
      <c r="DC23" s="124" t="n"/>
      <c r="DD23" s="121" t="n"/>
      <c r="DE23" s="75" t="n">
        <v>0</v>
      </c>
      <c r="DF23" s="124" t="n"/>
      <c r="DG23" s="121">
        <f>IF($DC23=0,0,$DD23*($DC23*100%-$DE23*$DF23))*SUM($AB23:$AB23)</f>
        <v/>
      </c>
      <c r="DH23" s="125" t="inlineStr">
        <is>
          <t>месяц</t>
        </is>
      </c>
      <c r="DI23" s="126">
        <f t="array" ref="DI23">IFERROR(
IF($ES23="LisChannel",
(ROUND(((INDEX({174.625;153.888888888889;130.972222222222},MATCH($AI23,{2;3;4}),0))*$AG23*$AI23),2)),0),0)</f>
        <v/>
      </c>
      <c r="DJ23" s="126">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1" t="inlineStr">
        <is>
          <t>послед.</t>
        </is>
      </c>
      <c r="DL23" s="63" t="n">
        <v>0</v>
      </c>
      <c r="DM23" s="63" t="n">
        <v>0</v>
      </c>
      <c r="DN23" s="63" t="n">
        <v>0</v>
      </c>
      <c r="DO23" s="63" t="n">
        <v>0</v>
      </c>
      <c r="DP23" s="63" t="n">
        <v>0</v>
      </c>
      <c r="DQ23" s="63">
        <f t="array" ref="DQ23">IFERROR(_xlfn.IFS(
$DK23="послед.",1-(1-$DL23)*(1-$DM23)*(1-$DN23)*(1-$DO23)*(1-$DP23),
$DK23="сумм.",$DL23+$DM23+$DN23+$DO23+$DP23),
0)</f>
        <v/>
      </c>
      <c r="DR23" s="121">
        <f t="array" ref="DR23">
IFERROR(
_xlfn.IFS(
$BL23=0,
0,
$BL23&gt;0,
_xlfn.IFS($DK23="послед.",
$DJ23*(1-$DL23)*(1-$DM23)*(1-$DN23)*(1-$DO23)*(1-$DP23),
$DK23="сумм.",
$DJ23*(1-($DL23+$DM23+$DN23+$DO23+$DP23)))),0)</f>
        <v/>
      </c>
      <c r="DS23" s="121">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1">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1">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1">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1">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1">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1">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1">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1">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1">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1">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1">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1">
        <f>SUM($DS23,$DT23,$DU23,$DV23,$DW23,$DX23,$DY23,$DZ23,$EA23,$EB23,$EC23,$ED23)</f>
        <v/>
      </c>
      <c r="EF23" s="121">
        <f>IFERROR(ROUND($EE23*(1+$EP23),2),0)</f>
        <v/>
      </c>
      <c r="EG23" s="124" t="n">
        <v>1</v>
      </c>
      <c r="EH23" s="122" t="n">
        <v>0</v>
      </c>
      <c r="EI23" s="122">
        <f>ROUND(SUM($EH23:$EH23)*SUM($AB23:$AB23)*$EG23,2)</f>
        <v/>
      </c>
      <c r="EJ23" s="122">
        <f>ROUND($EI23*(1+$EP23),2)</f>
        <v/>
      </c>
      <c r="EK23" s="122" t="n">
        <v>0</v>
      </c>
      <c r="EL23" s="122">
        <f>ROUND(SUM($EK23:$EK23)*SUM($AB23:$AB23)*$EG23,2)</f>
        <v/>
      </c>
      <c r="EM23" s="122">
        <f>ROUND($EL23*(1+$EP23),2)</f>
        <v/>
      </c>
      <c r="EN23" s="122">
        <f>SUM($EE23,$EI23,$EL23)</f>
        <v/>
      </c>
      <c r="EO23" s="122">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W23" t="inlineStr">
        <is>
          <t> </t>
        </is>
      </c>
    </row>
    <row r="24">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n"/>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n"/>
      <c r="T24" s="60" t="n"/>
      <c r="U24" s="60" t="n"/>
      <c r="V24" s="60">
        <f>
IF(P24="Видео",
"цифровой постер/ролик",
IF(ISNUMBER(MATCH(Q24,{"короб световой","короб световой | лайтбокс","короб световой | кристалайт","лайтбокс","лайт бокс","кристалайт","LB","lightbox"},)),
"бэклит",
IF(P24="Брендирование/оклейка",
"перфарированная пленка/самоклейка",
IF(P24="Экспонирование",
"под запрос",
IF(P24="Подвес",
"баннер/ткань",
"")))))</f>
        <v/>
      </c>
      <c r="W24" s="59" t="n"/>
      <c r="X24" s="59" t="n"/>
      <c r="Y24" s="59" t="n"/>
      <c r="Z24" s="61" t="n"/>
      <c r="AA24" s="61" t="n"/>
      <c r="AB24" s="61">
        <f>IF(BL24&gt;0,Z24,0)</f>
        <v/>
      </c>
      <c r="AC24" s="59" t="n"/>
      <c r="AD24" s="59" t="n"/>
      <c r="AE24" s="59" t="n"/>
      <c r="AF24" s="59" t="n"/>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c r="AS24" s="61" t="n"/>
      <c r="AT24" s="61" t="n"/>
      <c r="AU24" s="65" t="n"/>
      <c r="AV24" s="120">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1">
        <f>$DJ24</f>
        <v/>
      </c>
      <c r="BO24" s="63">
        <f>$DQ24</f>
        <v/>
      </c>
      <c r="BP24" s="121">
        <f>
IFERROR(
IF($BL24=0,0,
$BN24*(1-$BO24)),
0)</f>
        <v/>
      </c>
      <c r="BQ24" s="121">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1">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1">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1">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1">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1">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1">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1">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1">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1">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1">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1">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1">
        <f>SUM($BQ24:$CB24)</f>
        <v/>
      </c>
      <c r="CD24" s="122">
        <f>SUM($EH24:$EH24)</f>
        <v/>
      </c>
      <c r="CE24" s="122">
        <f>$CD24*$AB24</f>
        <v/>
      </c>
      <c r="CF24" s="122">
        <f>SUM($EK24:$EK24)</f>
        <v/>
      </c>
      <c r="CG24" s="122">
        <f>$CF24*$AB24</f>
        <v/>
      </c>
      <c r="CH24" s="122">
        <f>SUM($CC24,$CE24,$CG24)</f>
        <v/>
      </c>
      <c r="CI24" s="122">
        <f>$CH24*(1+$CM24)</f>
        <v/>
      </c>
      <c r="CJ24" s="123" t="n">
        <v>0</v>
      </c>
      <c r="CK24" s="122">
        <f>SUM($CH24:$CH24)*(1+$CJ24)</f>
        <v/>
      </c>
      <c r="CL24" s="122">
        <f>SUM($CH24:$CH24)*(1+$CM24)</f>
        <v/>
      </c>
      <c r="CM24" s="59" t="n"/>
      <c r="CN24" s="59" t="n"/>
      <c r="CO24" s="72" t="n"/>
      <c r="CP24" s="59" t="n"/>
      <c r="CQ24" s="73" t="n"/>
      <c r="CR24" s="73" t="n"/>
      <c r="CS24" s="73" t="n"/>
      <c r="CT24" s="72" t="n"/>
      <c r="CU24" s="79" t="inlineStr">
        <is>
          <t> </t>
        </is>
      </c>
      <c r="CV24" s="60" t="n"/>
      <c r="CW24" s="60" t="n"/>
      <c r="CX24" s="60" t="n"/>
      <c r="CY24" s="123">
        <f>IFERROR(($CC24-$EE24)/($EE24/(1-$DQ24)),0)</f>
        <v/>
      </c>
      <c r="CZ24" s="123">
        <f>IFERROR(1-$EI24/($CE24),0)</f>
        <v/>
      </c>
      <c r="DA24" s="123">
        <f>IFERROR(1-$EL24/($CG24),0)</f>
        <v/>
      </c>
      <c r="DB24" s="122">
        <f>ROUND(IFERROR(($CI24/(1+$CM24)-$EN24),0),2)</f>
        <v/>
      </c>
      <c r="DC24" s="124" t="n"/>
      <c r="DD24" s="121" t="n"/>
      <c r="DE24" s="75" t="n">
        <v>0</v>
      </c>
      <c r="DF24" s="124" t="n"/>
      <c r="DG24" s="121">
        <f>IF($DC24=0,0,$DD24*($DC24*100%-$DE24*$DF24))*SUM($AB24:$AB24)</f>
        <v/>
      </c>
      <c r="DH24" s="125" t="inlineStr">
        <is>
          <t>месяц</t>
        </is>
      </c>
      <c r="DI24" s="126">
        <f t="array" ref="DI24">IFERROR(
IF($ES24="LisChannel",
(ROUND(((INDEX({174.625;153.888888888889;130.972222222222},MATCH($AI24,{2;3;4}),0))*$AG24*$AI24),2)),0),0)</f>
        <v/>
      </c>
      <c r="DJ24" s="126">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1" t="inlineStr">
        <is>
          <t>послед.</t>
        </is>
      </c>
      <c r="DL24" s="63" t="n">
        <v>0</v>
      </c>
      <c r="DM24" s="63" t="n">
        <v>0</v>
      </c>
      <c r="DN24" s="63" t="n">
        <v>0</v>
      </c>
      <c r="DO24" s="63" t="n">
        <v>0</v>
      </c>
      <c r="DP24" s="63" t="n">
        <v>0</v>
      </c>
      <c r="DQ24" s="63">
        <f t="array" ref="DQ24">IFERROR(_xlfn.IFS(
$DK24="послед.",1-(1-$DL24)*(1-$DM24)*(1-$DN24)*(1-$DO24)*(1-$DP24),
$DK24="сумм.",$DL24+$DM24+$DN24+$DO24+$DP24),
0)</f>
        <v/>
      </c>
      <c r="DR24" s="121">
        <f t="array" ref="DR24">
IFERROR(
_xlfn.IFS(
$BL24=0,
0,
$BL24&gt;0,
_xlfn.IFS($DK24="послед.",
$DJ24*(1-$DL24)*(1-$DM24)*(1-$DN24)*(1-$DO24)*(1-$DP24),
$DK24="сумм.",
$DJ24*(1-($DL24+$DM24+$DN24+$DO24+$DP24)))),0)</f>
        <v/>
      </c>
      <c r="DS24" s="121">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1">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1">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1">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1">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1">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1">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1">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1">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1">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1">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1">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1">
        <f>SUM($DS24,$DT24,$DU24,$DV24,$DW24,$DX24,$DY24,$DZ24,$EA24,$EB24,$EC24,$ED24)</f>
        <v/>
      </c>
      <c r="EF24" s="121">
        <f>IFERROR(ROUND($EE24*(1+$EP24),2),0)</f>
        <v/>
      </c>
      <c r="EG24" s="124" t="n">
        <v>1</v>
      </c>
      <c r="EH24" s="122" t="n">
        <v>0</v>
      </c>
      <c r="EI24" s="122">
        <f>ROUND(SUM($EH24:$EH24)*SUM($AB24:$AB24)*$EG24,2)</f>
        <v/>
      </c>
      <c r="EJ24" s="122">
        <f>ROUND($EI24*(1+$EP24),2)</f>
        <v/>
      </c>
      <c r="EK24" s="122" t="n">
        <v>0</v>
      </c>
      <c r="EL24" s="122">
        <f>ROUND(SUM($EK24:$EK24)*SUM($AB24:$AB24)*$EG24,2)</f>
        <v/>
      </c>
      <c r="EM24" s="122">
        <f>ROUND($EL24*(1+$EP24),2)</f>
        <v/>
      </c>
      <c r="EN24" s="122">
        <f>SUM($EE24,$EI24,$EL24)</f>
        <v/>
      </c>
      <c r="EO24" s="122">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W24" t="inlineStr">
        <is>
          <t> </t>
        </is>
      </c>
    </row>
    <row r="25">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n"/>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n"/>
      <c r="T25" s="60" t="n"/>
      <c r="U25" s="60" t="n"/>
      <c r="V25" s="60">
        <f>
IF(P25="Видео",
"цифровой постер/ролик",
IF(ISNUMBER(MATCH(Q25,{"короб световой","короб световой | лайтбокс","короб световой | кристалайт","лайтбокс","лайт бокс","кристалайт","LB","lightbox"},)),
"бэклит",
IF(P25="Брендирование/оклейка",
"перфарированная пленка/самоклейка",
IF(P25="Экспонирование",
"под запрос",
IF(P25="Подвес",
"баннер/ткань",
"")))))</f>
        <v/>
      </c>
      <c r="W25" s="59" t="n"/>
      <c r="X25" s="59" t="n"/>
      <c r="Y25" s="59" t="n"/>
      <c r="Z25" s="61" t="n"/>
      <c r="AA25" s="61" t="n"/>
      <c r="AB25" s="61">
        <f>IF(BL25&gt;0,Z25,0)</f>
        <v/>
      </c>
      <c r="AC25" s="59" t="n"/>
      <c r="AD25" s="59" t="n"/>
      <c r="AE25" s="59" t="n"/>
      <c r="AF25" s="59" t="n"/>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c r="AS25" s="61" t="n"/>
      <c r="AT25" s="61" t="n"/>
      <c r="AU25" s="65" t="n"/>
      <c r="AV25" s="120">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1">
        <f>$DJ25</f>
        <v/>
      </c>
      <c r="BO25" s="63">
        <f>$DQ25</f>
        <v/>
      </c>
      <c r="BP25" s="121">
        <f>
IFERROR(
IF($BL25=0,0,
$BN25*(1-$BO25)),
0)</f>
        <v/>
      </c>
      <c r="BQ25" s="121">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1">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1">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1">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1">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1">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1">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1">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1">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1">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1">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1">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1">
        <f>SUM($BQ25:$CB25)</f>
        <v/>
      </c>
      <c r="CD25" s="122">
        <f>SUM($EH25:$EH25)</f>
        <v/>
      </c>
      <c r="CE25" s="122">
        <f>$CD25*$AB25</f>
        <v/>
      </c>
      <c r="CF25" s="122">
        <f>SUM($EK25:$EK25)</f>
        <v/>
      </c>
      <c r="CG25" s="122">
        <f>$CF25*$AB25</f>
        <v/>
      </c>
      <c r="CH25" s="122">
        <f>SUM($CC25,$CE25,$CG25)</f>
        <v/>
      </c>
      <c r="CI25" s="122">
        <f>$CH25*(1+$CM25)</f>
        <v/>
      </c>
      <c r="CJ25" s="123" t="n">
        <v>0</v>
      </c>
      <c r="CK25" s="122">
        <f>SUM($CH25:$CH25)*(1+$CJ25)</f>
        <v/>
      </c>
      <c r="CL25" s="122">
        <f>SUM($CH25:$CH25)*(1+$CM25)</f>
        <v/>
      </c>
      <c r="CM25" s="59" t="n"/>
      <c r="CN25" s="59" t="n"/>
      <c r="CO25" s="72" t="n"/>
      <c r="CP25" s="59" t="n"/>
      <c r="CQ25" s="73" t="n"/>
      <c r="CR25" s="73" t="n"/>
      <c r="CS25" s="73" t="n"/>
      <c r="CT25" s="72" t="n"/>
      <c r="CU25" s="79" t="inlineStr">
        <is>
          <t> </t>
        </is>
      </c>
      <c r="CV25" s="60" t="n"/>
      <c r="CW25" s="60" t="n"/>
      <c r="CX25" s="60" t="n"/>
      <c r="CY25" s="123">
        <f>IFERROR(($CC25-$EE25)/($EE25/(1-$DQ25)),0)</f>
        <v/>
      </c>
      <c r="CZ25" s="123">
        <f>IFERROR(1-$EI25/($CE25),0)</f>
        <v/>
      </c>
      <c r="DA25" s="123">
        <f>IFERROR(1-$EL25/($CG25),0)</f>
        <v/>
      </c>
      <c r="DB25" s="122">
        <f>ROUND(IFERROR(($CI25/(1+$CM25)-$EN25),0),2)</f>
        <v/>
      </c>
      <c r="DC25" s="124" t="n"/>
      <c r="DD25" s="121" t="n"/>
      <c r="DE25" s="75" t="n">
        <v>0</v>
      </c>
      <c r="DF25" s="124" t="n"/>
      <c r="DG25" s="121">
        <f>IF($DC25=0,0,$DD25*($DC25*100%-$DE25*$DF25))*SUM($AB25:$AB25)</f>
        <v/>
      </c>
      <c r="DH25" s="125" t="inlineStr">
        <is>
          <t>месяц</t>
        </is>
      </c>
      <c r="DI25" s="126">
        <f t="array" ref="DI25">IFERROR(
IF($ES25="LisChannel",
(ROUND(((INDEX({174.625;153.888888888889;130.972222222222},MATCH($AI25,{2;3;4}),0))*$AG25*$AI25),2)),0),0)</f>
        <v/>
      </c>
      <c r="DJ25" s="126">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1" t="inlineStr">
        <is>
          <t>послед.</t>
        </is>
      </c>
      <c r="DL25" s="63" t="n">
        <v>0</v>
      </c>
      <c r="DM25" s="63" t="n">
        <v>0</v>
      </c>
      <c r="DN25" s="63" t="n">
        <v>0</v>
      </c>
      <c r="DO25" s="63" t="n">
        <v>0</v>
      </c>
      <c r="DP25" s="63" t="n">
        <v>0</v>
      </c>
      <c r="DQ25" s="63">
        <f t="array" ref="DQ25">IFERROR(_xlfn.IFS(
$DK25="послед.",1-(1-$DL25)*(1-$DM25)*(1-$DN25)*(1-$DO25)*(1-$DP25),
$DK25="сумм.",$DL25+$DM25+$DN25+$DO25+$DP25),
0)</f>
        <v/>
      </c>
      <c r="DR25" s="121">
        <f t="array" ref="DR25">
IFERROR(
_xlfn.IFS(
$BL25=0,
0,
$BL25&gt;0,
_xlfn.IFS($DK25="послед.",
$DJ25*(1-$DL25)*(1-$DM25)*(1-$DN25)*(1-$DO25)*(1-$DP25),
$DK25="сумм.",
$DJ25*(1-($DL25+$DM25+$DN25+$DO25+$DP25)))),0)</f>
        <v/>
      </c>
      <c r="DS25" s="121">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1">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1">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1">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1">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1">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1">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1">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1">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1">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1">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1">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1">
        <f>SUM($DS25,$DT25,$DU25,$DV25,$DW25,$DX25,$DY25,$DZ25,$EA25,$EB25,$EC25,$ED25)</f>
        <v/>
      </c>
      <c r="EF25" s="121">
        <f>IFERROR(ROUND($EE25*(1+$EP25),2),0)</f>
        <v/>
      </c>
      <c r="EG25" s="124" t="n">
        <v>1</v>
      </c>
      <c r="EH25" s="122" t="n">
        <v>0</v>
      </c>
      <c r="EI25" s="122">
        <f>ROUND(SUM($EH25:$EH25)*SUM($AB25:$AB25)*$EG25,2)</f>
        <v/>
      </c>
      <c r="EJ25" s="122">
        <f>ROUND($EI25*(1+$EP25),2)</f>
        <v/>
      </c>
      <c r="EK25" s="122" t="n">
        <v>0</v>
      </c>
      <c r="EL25" s="122">
        <f>ROUND(SUM($EK25:$EK25)*SUM($AB25:$AB25)*$EG25,2)</f>
        <v/>
      </c>
      <c r="EM25" s="122">
        <f>ROUND($EL25*(1+$EP25),2)</f>
        <v/>
      </c>
      <c r="EN25" s="122">
        <f>SUM($EE25,$EI25,$EL25)</f>
        <v/>
      </c>
      <c r="EO25" s="122">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W25" t="inlineStr">
        <is>
          <t> </t>
        </is>
      </c>
    </row>
    <row r="26">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n"/>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n"/>
      <c r="T26" s="60" t="n"/>
      <c r="U26" s="60" t="n"/>
      <c r="V26" s="60">
        <f>
IF(P26="Видео",
"цифровой постер/ролик",
IF(ISNUMBER(MATCH(Q26,{"короб световой","короб световой | лайтбокс","короб световой | кристалайт","лайтбокс","лайт бокс","кристалайт","LB","lightbox"},)),
"бэклит",
IF(P26="Брендирование/оклейка",
"перфарированная пленка/самоклейка",
IF(P26="Экспонирование",
"под запрос",
IF(P26="Подвес",
"баннер/ткань",
"")))))</f>
        <v/>
      </c>
      <c r="W26" s="59" t="n"/>
      <c r="X26" s="59" t="n"/>
      <c r="Y26" s="59" t="n"/>
      <c r="Z26" s="61" t="n"/>
      <c r="AA26" s="61" t="n"/>
      <c r="AB26" s="61">
        <f>IF(BL26&gt;0,Z26,0)</f>
        <v/>
      </c>
      <c r="AC26" s="59" t="n"/>
      <c r="AD26" s="59" t="n"/>
      <c r="AE26" s="59" t="n"/>
      <c r="AF26" s="59" t="n"/>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c r="AS26" s="61" t="n"/>
      <c r="AT26" s="61" t="n"/>
      <c r="AU26" s="65" t="n"/>
      <c r="AV26" s="120">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1">
        <f>$DJ26</f>
        <v/>
      </c>
      <c r="BO26" s="63">
        <f>$DQ26</f>
        <v/>
      </c>
      <c r="BP26" s="121">
        <f>
IFERROR(
IF($BL26=0,0,
$BN26*(1-$BO26)),
0)</f>
        <v/>
      </c>
      <c r="BQ26" s="121">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1">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1">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1">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1">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1">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1">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1">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1">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1">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1">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1">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1">
        <f>SUM($BQ26:$CB26)</f>
        <v/>
      </c>
      <c r="CD26" s="122">
        <f>SUM($EH26:$EH26)</f>
        <v/>
      </c>
      <c r="CE26" s="122">
        <f>$CD26*$AB26</f>
        <v/>
      </c>
      <c r="CF26" s="122">
        <f>SUM($EK26:$EK26)</f>
        <v/>
      </c>
      <c r="CG26" s="122">
        <f>$CF26*$AB26</f>
        <v/>
      </c>
      <c r="CH26" s="122">
        <f>SUM($CC26,$CE26,$CG26)</f>
        <v/>
      </c>
      <c r="CI26" s="122">
        <f>$CH26*(1+$CM26)</f>
        <v/>
      </c>
      <c r="CJ26" s="123" t="n">
        <v>0</v>
      </c>
      <c r="CK26" s="122">
        <f>SUM($CH26:$CH26)*(1+$CJ26)</f>
        <v/>
      </c>
      <c r="CL26" s="122">
        <f>SUM($CH26:$CH26)*(1+$CM26)</f>
        <v/>
      </c>
      <c r="CM26" s="59" t="n"/>
      <c r="CN26" s="59" t="n"/>
      <c r="CO26" s="72" t="n"/>
      <c r="CP26" s="59" t="n"/>
      <c r="CQ26" s="73" t="n"/>
      <c r="CR26" s="73" t="n"/>
      <c r="CS26" s="73" t="n"/>
      <c r="CT26" s="72" t="n"/>
      <c r="CU26" s="79" t="inlineStr">
        <is>
          <t> </t>
        </is>
      </c>
      <c r="CV26" s="60" t="n"/>
      <c r="CW26" s="60" t="n"/>
      <c r="CX26" s="60" t="n"/>
      <c r="CY26" s="123">
        <f>IFERROR(($CC26-$EE26)/($EE26/(1-$DQ26)),0)</f>
        <v/>
      </c>
      <c r="CZ26" s="123">
        <f>IFERROR(1-$EI26/($CE26),0)</f>
        <v/>
      </c>
      <c r="DA26" s="123">
        <f>IFERROR(1-$EL26/($CG26),0)</f>
        <v/>
      </c>
      <c r="DB26" s="122">
        <f>ROUND(IFERROR(($CI26/(1+$CM26)-$EN26),0),2)</f>
        <v/>
      </c>
      <c r="DC26" s="124" t="n"/>
      <c r="DD26" s="121" t="n"/>
      <c r="DE26" s="75" t="n">
        <v>0</v>
      </c>
      <c r="DF26" s="124" t="n"/>
      <c r="DG26" s="121">
        <f>IF($DC26=0,0,$DD26*($DC26*100%-$DE26*$DF26))*SUM($AB26:$AB26)</f>
        <v/>
      </c>
      <c r="DH26" s="125" t="inlineStr">
        <is>
          <t>месяц</t>
        </is>
      </c>
      <c r="DI26" s="126">
        <f t="array" ref="DI26">IFERROR(
IF($ES26="LisChannel",
(ROUND(((INDEX({174.625;153.888888888889;130.972222222222},MATCH($AI26,{2;3;4}),0))*$AG26*$AI26),2)),0),0)</f>
        <v/>
      </c>
      <c r="DJ26" s="126">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1" t="inlineStr">
        <is>
          <t>послед.</t>
        </is>
      </c>
      <c r="DL26" s="63" t="n">
        <v>0</v>
      </c>
      <c r="DM26" s="63" t="n">
        <v>0</v>
      </c>
      <c r="DN26" s="63" t="n">
        <v>0</v>
      </c>
      <c r="DO26" s="63" t="n">
        <v>0</v>
      </c>
      <c r="DP26" s="63" t="n">
        <v>0</v>
      </c>
      <c r="DQ26" s="63">
        <f t="array" ref="DQ26">IFERROR(_xlfn.IFS(
$DK26="послед.",1-(1-$DL26)*(1-$DM26)*(1-$DN26)*(1-$DO26)*(1-$DP26),
$DK26="сумм.",$DL26+$DM26+$DN26+$DO26+$DP26),
0)</f>
        <v/>
      </c>
      <c r="DR26" s="121">
        <f t="array" ref="DR26">
IFERROR(
_xlfn.IFS(
$BL26=0,
0,
$BL26&gt;0,
_xlfn.IFS($DK26="послед.",
$DJ26*(1-$DL26)*(1-$DM26)*(1-$DN26)*(1-$DO26)*(1-$DP26),
$DK26="сумм.",
$DJ26*(1-($DL26+$DM26+$DN26+$DO26+$DP26)))),0)</f>
        <v/>
      </c>
      <c r="DS26" s="121">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1">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1">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1">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1">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1">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1">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1">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1">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1">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1">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1">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1">
        <f>SUM($DS26,$DT26,$DU26,$DV26,$DW26,$DX26,$DY26,$DZ26,$EA26,$EB26,$EC26,$ED26)</f>
        <v/>
      </c>
      <c r="EF26" s="121">
        <f>IFERROR(ROUND($EE26*(1+$EP26),2),0)</f>
        <v/>
      </c>
      <c r="EG26" s="124" t="n">
        <v>1</v>
      </c>
      <c r="EH26" s="122" t="n">
        <v>0</v>
      </c>
      <c r="EI26" s="122">
        <f>ROUND(SUM($EH26:$EH26)*SUM($AB26:$AB26)*$EG26,2)</f>
        <v/>
      </c>
      <c r="EJ26" s="122">
        <f>ROUND($EI26*(1+$EP26),2)</f>
        <v/>
      </c>
      <c r="EK26" s="122" t="n">
        <v>0</v>
      </c>
      <c r="EL26" s="122">
        <f>ROUND(SUM($EK26:$EK26)*SUM($AB26:$AB26)*$EG26,2)</f>
        <v/>
      </c>
      <c r="EM26" s="122">
        <f>ROUND($EL26*(1+$EP26),2)</f>
        <v/>
      </c>
      <c r="EN26" s="122">
        <f>SUM($EE26,$EI26,$EL26)</f>
        <v/>
      </c>
      <c r="EO26" s="122">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W26" t="inlineStr">
        <is>
          <t> </t>
        </is>
      </c>
    </row>
    <row r="27">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n"/>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n"/>
      <c r="T27" s="60" t="n"/>
      <c r="U27" s="60" t="n"/>
      <c r="V27" s="60">
        <f>
IF(P27="Видео",
"цифровой постер/ролик",
IF(ISNUMBER(MATCH(Q27,{"короб световой","короб световой | лайтбокс","короб световой | кристалайт","лайтбокс","лайт бокс","кристалайт","LB","lightbox"},)),
"бэклит",
IF(P27="Брендирование/оклейка",
"перфарированная пленка/самоклейка",
IF(P27="Экспонирование",
"под запрос",
IF(P27="Подвес",
"баннер/ткань",
"")))))</f>
        <v/>
      </c>
      <c r="W27" s="59" t="n"/>
      <c r="X27" s="59" t="n"/>
      <c r="Y27" s="59" t="n"/>
      <c r="Z27" s="61" t="n"/>
      <c r="AA27" s="61" t="n"/>
      <c r="AB27" s="61">
        <f>IF(BL27&gt;0,Z27,0)</f>
        <v/>
      </c>
      <c r="AC27" s="59" t="n"/>
      <c r="AD27" s="59" t="n"/>
      <c r="AE27" s="59" t="n"/>
      <c r="AF27" s="59" t="n"/>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c r="AS27" s="61" t="n"/>
      <c r="AT27" s="61" t="n"/>
      <c r="AU27" s="65" t="n"/>
      <c r="AV27" s="120">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1">
        <f>$DJ27</f>
        <v/>
      </c>
      <c r="BO27" s="63">
        <f>$DQ27</f>
        <v/>
      </c>
      <c r="BP27" s="121">
        <f>
IFERROR(
IF($BL27=0,0,
$BN27*(1-$BO27)),
0)</f>
        <v/>
      </c>
      <c r="BQ27" s="121">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1">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1">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1">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1">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1">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1">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1">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1">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1">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1">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1">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1">
        <f>SUM($BQ27:$CB27)</f>
        <v/>
      </c>
      <c r="CD27" s="122">
        <f>SUM($EH27:$EH27)</f>
        <v/>
      </c>
      <c r="CE27" s="122">
        <f>$CD27*$AB27</f>
        <v/>
      </c>
      <c r="CF27" s="122">
        <f>SUM($EK27:$EK27)</f>
        <v/>
      </c>
      <c r="CG27" s="122">
        <f>$CF27*$AB27</f>
        <v/>
      </c>
      <c r="CH27" s="122">
        <f>SUM($CC27,$CE27,$CG27)</f>
        <v/>
      </c>
      <c r="CI27" s="122">
        <f>$CH27*(1+$CM27)</f>
        <v/>
      </c>
      <c r="CJ27" s="123" t="n">
        <v>0</v>
      </c>
      <c r="CK27" s="122">
        <f>SUM($CH27:$CH27)*(1+$CJ27)</f>
        <v/>
      </c>
      <c r="CL27" s="122">
        <f>SUM($CH27:$CH27)*(1+$CM27)</f>
        <v/>
      </c>
      <c r="CM27" s="59" t="n"/>
      <c r="CN27" s="59" t="n"/>
      <c r="CO27" s="72" t="n"/>
      <c r="CP27" s="59" t="n"/>
      <c r="CQ27" s="73" t="n"/>
      <c r="CR27" s="73" t="n"/>
      <c r="CS27" s="73" t="n"/>
      <c r="CT27" s="72" t="n"/>
      <c r="CU27" s="79" t="inlineStr">
        <is>
          <t> </t>
        </is>
      </c>
      <c r="CV27" s="60" t="n"/>
      <c r="CW27" s="60" t="n"/>
      <c r="CX27" s="60" t="n"/>
      <c r="CY27" s="123">
        <f>IFERROR(($CC27-$EE27)/($EE27/(1-$DQ27)),0)</f>
        <v/>
      </c>
      <c r="CZ27" s="123">
        <f>IFERROR(1-$EI27/($CE27),0)</f>
        <v/>
      </c>
      <c r="DA27" s="123">
        <f>IFERROR(1-$EL27/($CG27),0)</f>
        <v/>
      </c>
      <c r="DB27" s="122">
        <f>ROUND(IFERROR(($CI27/(1+$CM27)-$EN27),0),2)</f>
        <v/>
      </c>
      <c r="DC27" s="124" t="n"/>
      <c r="DD27" s="121" t="n"/>
      <c r="DE27" s="75" t="n">
        <v>0</v>
      </c>
      <c r="DF27" s="124" t="n"/>
      <c r="DG27" s="121">
        <f>IF($DC27=0,0,$DD27*($DC27*100%-$DE27*$DF27))*SUM($AB27:$AB27)</f>
        <v/>
      </c>
      <c r="DH27" s="125" t="inlineStr">
        <is>
          <t>месяц</t>
        </is>
      </c>
      <c r="DI27" s="126">
        <f t="array" ref="DI27">IFERROR(
IF($ES27="LisChannel",
(ROUND(((INDEX({174.625;153.888888888889;130.972222222222},MATCH($AI27,{2;3;4}),0))*$AG27*$AI27),2)),0),0)</f>
        <v/>
      </c>
      <c r="DJ27" s="126">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1" t="inlineStr">
        <is>
          <t>послед.</t>
        </is>
      </c>
      <c r="DL27" s="63" t="n">
        <v>0</v>
      </c>
      <c r="DM27" s="63" t="n">
        <v>0</v>
      </c>
      <c r="DN27" s="63" t="n">
        <v>0</v>
      </c>
      <c r="DO27" s="63" t="n">
        <v>0</v>
      </c>
      <c r="DP27" s="63" t="n">
        <v>0</v>
      </c>
      <c r="DQ27" s="63">
        <f t="array" ref="DQ27">IFERROR(_xlfn.IFS(
$DK27="послед.",1-(1-$DL27)*(1-$DM27)*(1-$DN27)*(1-$DO27)*(1-$DP27),
$DK27="сумм.",$DL27+$DM27+$DN27+$DO27+$DP27),
0)</f>
        <v/>
      </c>
      <c r="DR27" s="121">
        <f t="array" ref="DR27">
IFERROR(
_xlfn.IFS(
$BL27=0,
0,
$BL27&gt;0,
_xlfn.IFS($DK27="послед.",
$DJ27*(1-$DL27)*(1-$DM27)*(1-$DN27)*(1-$DO27)*(1-$DP27),
$DK27="сумм.",
$DJ27*(1-($DL27+$DM27+$DN27+$DO27+$DP27)))),0)</f>
        <v/>
      </c>
      <c r="DS27" s="121">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1">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1">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1">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1">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1">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1">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1">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1">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1">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1">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1">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1">
        <f>SUM($DS27,$DT27,$DU27,$DV27,$DW27,$DX27,$DY27,$DZ27,$EA27,$EB27,$EC27,$ED27)</f>
        <v/>
      </c>
      <c r="EF27" s="121">
        <f>IFERROR(ROUND($EE27*(1+$EP27),2),0)</f>
        <v/>
      </c>
      <c r="EG27" s="124" t="n">
        <v>1</v>
      </c>
      <c r="EH27" s="122" t="n">
        <v>0</v>
      </c>
      <c r="EI27" s="122">
        <f>ROUND(SUM($EH27:$EH27)*SUM($AB27:$AB27)*$EG27,2)</f>
        <v/>
      </c>
      <c r="EJ27" s="122">
        <f>ROUND($EI27*(1+$EP27),2)</f>
        <v/>
      </c>
      <c r="EK27" s="122" t="n">
        <v>0</v>
      </c>
      <c r="EL27" s="122">
        <f>ROUND(SUM($EK27:$EK27)*SUM($AB27:$AB27)*$EG27,2)</f>
        <v/>
      </c>
      <c r="EM27" s="122">
        <f>ROUND($EL27*(1+$EP27),2)</f>
        <v/>
      </c>
      <c r="EN27" s="122">
        <f>SUM($EE27,$EI27,$EL27)</f>
        <v/>
      </c>
      <c r="EO27" s="122">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W27" t="inlineStr">
        <is>
          <t> </t>
        </is>
      </c>
    </row>
  </sheetData>
  <autoFilter ref="A15:EV22"/>
  <conditionalFormatting sqref="F8">
    <cfRule type="cellIs" priority="8394" operator="equal" dxfId="0">
      <formula>"выкл"</formula>
    </cfRule>
    <cfRule type="cellIs" priority="8395" operator="equal" dxfId="1">
      <formula>"вкл"</formula>
    </cfRule>
  </conditionalFormatting>
  <conditionalFormatting sqref="A16:AY27 BL16:BL27 BN16:BP27 CC16:CT27 CY16:DH27 DK16:DR27 EE16:EV27">
    <cfRule type="expression" priority="1181" dxfId="1">
      <formula>AND(ROW(A16)=CELL("строка"),$F$8="вкл")</formula>
    </cfRule>
    <cfRule type="containsBlanks" priority="1194" dxfId="0">
      <formula>LEN(TRIM(A16))=0</formula>
    </cfRule>
  </conditionalFormatting>
  <conditionalFormatting sqref="BL16:BL27">
    <cfRule type="cellIs" priority="1191" operator="greaterThan" dxfId="5">
      <formula>0</formula>
    </cfRule>
    <cfRule type="cellIs" priority="1192" operator="equal" dxfId="4">
      <formula>0</formula>
    </cfRule>
  </conditionalFormatting>
  <conditionalFormatting sqref="DB16:DB27">
    <cfRule type="cellIs" priority="1185" operator="greaterThan" dxfId="5">
      <formula>0</formula>
    </cfRule>
    <cfRule type="cellIs" priority="1186" operator="equal" dxfId="4">
      <formula>0</formula>
    </cfRule>
    <cfRule type="cellIs" priority="1187" operator="lessThan" dxfId="4">
      <formula>0</formula>
    </cfRule>
  </conditionalFormatting>
  <conditionalFormatting sqref="AY9 BO16:BO27 DS9:ED9">
    <cfRule type="cellIs" priority="1184" operator="lessThan" dxfId="4">
      <formula>0</formula>
    </cfRule>
  </conditionalFormatting>
  <conditionalFormatting sqref="CY16:DA27">
    <cfRule type="cellIs" priority="1182" operator="greaterThan" dxfId="5">
      <formula>0</formula>
    </cfRule>
    <cfRule type="cellIs" priority="1183" operator="lessThan" dxfId="4">
      <formula>0</formula>
    </cfRule>
    <cfRule type="cellIs" priority="1193" operator="equal" dxfId="4">
      <formula>0</formula>
    </cfRule>
  </conditionalFormatting>
  <conditionalFormatting sqref="EH16:EH27 EK16:EK27">
    <cfRule type="containsText" priority="1179" operator="containsText" dxfId="19" text="под запрос">
      <formula>NOT(ISERROR(SEARCH("под запрос",EH16)))</formula>
    </cfRule>
  </conditionalFormatting>
  <conditionalFormatting sqref="CY16:DB27">
    <cfRule type="expression" priority="8397" dxfId="1">
      <formula>AND(ROW(CV16)=CELL("строка"),$F$8="вкл")</formula>
    </cfRule>
  </conditionalFormatting>
  <conditionalFormatting sqref="BM16:BM27">
    <cfRule type="containsText" priority="211" operator="containsText" dxfId="17" text="пакет">
      <formula>NOT(ISERROR(SEARCH("пакет",BM16)))</formula>
    </cfRule>
    <cfRule type="expression" priority="212" dxfId="1">
      <formula>AND(ROW(BM16)=CELL("строка"),$F$8="вкл")</formula>
    </cfRule>
    <cfRule type="containsBlanks" priority="213" dxfId="0">
      <formula>LEN(TRIM(BM16))=0</formula>
    </cfRule>
  </conditionalFormatting>
  <conditionalFormatting sqref="ER16:ER27 EU16:EV27">
    <cfRule type="containsText" priority="198" operator="containsText" dxfId="14" text="!!!ВАЖНО">
      <formula>NOT(ISERROR(SEARCH("!!!ВАЖНО",ER16)))</formula>
    </cfRule>
  </conditionalFormatting>
  <conditionalFormatting sqref="CV16:CX27">
    <cfRule type="containsText" priority="199" operator="containsText" dxfId="13" text="резерв">
      <formula>NOT(ISERROR(SEARCH("резерв",CV16)))</formula>
    </cfRule>
    <cfRule type="containsText" priority="200" operator="containsText" dxfId="12" text="снят">
      <formula>NOT(ISERROR(SEARCH("снят",CV16)))</formula>
    </cfRule>
    <cfRule type="expression" priority="201" dxfId="1">
      <formula>AND(ROW(CV16)=CELL("строка"),$F$8="вкл")</formula>
    </cfRule>
    <cfRule type="containsBlanks" priority="202" dxfId="0">
      <formula>LEN(TRIM(CV16))=0</formula>
    </cfRule>
  </conditionalFormatting>
  <conditionalFormatting sqref="DI16:DJ27">
    <cfRule type="expression" priority="9" dxfId="1">
      <formula>AND(ROW(DI16)=CELL("строка"),$F$8="вкл")</formula>
    </cfRule>
    <cfRule type="containsBlanks" priority="10" dxfId="0">
      <formula>LEN(TRIM(DI16))=0</formula>
    </cfRule>
  </conditionalFormatting>
  <conditionalFormatting sqref="AZ16:BK27">
    <cfRule type="expression" priority="5" dxfId="1">
      <formula>AND(ROW(AZ16)=CELL("строка"),$F$8="вкл")</formula>
    </cfRule>
    <cfRule type="containsBlanks" priority="8" dxfId="0">
      <formula>LEN(TRIM(AZ16))=0</formula>
    </cfRule>
    <cfRule type="cellIs" priority="6" operator="greaterThan" dxfId="5">
      <formula>0</formula>
    </cfRule>
    <cfRule type="cellIs" priority="7" operator="equal" dxfId="4">
      <formula>0</formula>
    </cfRule>
  </conditionalFormatting>
  <conditionalFormatting sqref="DS16:ED27">
    <cfRule type="expression" priority="3" dxfId="1">
      <formula>AND(ROW(DS16)=CELL("строка"),$F$8="вкл")</formula>
    </cfRule>
    <cfRule type="containsBlanks" priority="4" dxfId="0">
      <formula>LEN(TRIM(DS16))=0</formula>
    </cfRule>
  </conditionalFormatting>
  <conditionalFormatting sqref="BQ16:CB27">
    <cfRule type="expression" priority="1" dxfId="1">
      <formula>AND(ROW(BQ16)=CELL("строка"),$F$8="вкл")</formula>
    </cfRule>
    <cfRule type="containsBlanks" priority="2" dxfId="0">
      <formula>LEN(TRIM(BQ16))=0</formula>
    </cfRule>
  </conditionalFormatting>
  <dataValidations count="3">
    <dataValidation sqref="F8" showDropDown="0" showInputMessage="1" showErrorMessage="1" allowBlank="1" type="list">
      <formula1>"ВКЛ,ВЫКЛ"</formula1>
    </dataValidation>
    <dataValidation sqref="DK16:DK27" showDropDown="0" showInputMessage="1" showErrorMessage="1" allowBlank="1" type="list">
      <formula1>"сумм.,послед."</formula1>
    </dataValidation>
    <dataValidation sqref="DH16:DH27"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2025-11-15T12:31:23Z</dcterms:modified>
  <cp:lastModifiedBy>Evgeniy Demur</cp:lastModifiedBy>
</cp:coreProperties>
</file>